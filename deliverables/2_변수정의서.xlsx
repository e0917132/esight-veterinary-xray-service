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변수 정의서" sheetId="1" state="visible" r:id="rId3"/>
    <sheet name="대분류별 집계" sheetId="2" state="visible" r:id="rId4"/>
    <sheet name="고유 변수 목록" sheetId="3" state="visible" r:id="rId5"/>
    <sheet name="표기 규칙" sheetId="4" state="visible" r:id="rId6"/>
  </sheets>
  <definedNames>
    <definedName function="false" hidden="true" localSheetId="2" name="_xlnm._FilterDatabase" vbProcedure="false">'고유 변수 목록'!$A$1:$G$393</definedName>
    <definedName function="false" hidden="true" localSheetId="0" name="_xlnm._FilterDatabase" vbProcedure="false">'변수 정의서'!$A$1:$J$529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<sst xmlns="http://schemas.openxmlformats.org/spreadsheetml/2006/main" count="6798" uniqueCount="1781">
  <si>
    <t xml:space="preserve">No</t>
  </si>
  <si>
    <t xml:space="preserve">그룹</t>
  </si>
  <si>
    <t xml:space="preserve">분류</t>
  </si>
  <si>
    <t xml:space="preserve">대분류</t>
  </si>
  <si>
    <t xml:space="preserve">중분류</t>
  </si>
  <si>
    <r>
      <rPr>
        <b val="true"/>
        <sz val="10"/>
        <color rgb="FFFFFFFF"/>
        <rFont val="Noto Sans CJK SC"/>
        <family val="2"/>
      </rPr>
      <t xml:space="preserve">인자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어골도 출처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</si>
  <si>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구분</t>
  </si>
  <si>
    <t xml:space="preserve">변수명</t>
  </si>
  <si>
    <t xml:space="preserve">타입</t>
  </si>
  <si>
    <t xml:space="preserve">설명</t>
  </si>
  <si>
    <r>
      <rPr>
        <sz val="9"/>
        <rFont val="Arial"/>
        <family val="0"/>
        <charset val="1"/>
      </rPr>
      <t xml:space="preserve">1. </t>
    </r>
    <r>
      <rPr>
        <sz val="9"/>
        <rFont val="Noto Sans CJK SC"/>
        <family val="2"/>
      </rPr>
      <t xml:space="preserve">내부 데이터</t>
    </r>
  </si>
  <si>
    <t xml:space="preserve">①</t>
  </si>
  <si>
    <t xml:space="preserve">영상 데이터</t>
  </si>
  <si>
    <t xml:space="preserve">영상 원본</t>
  </si>
  <si>
    <r>
      <rPr>
        <b val="true"/>
        <sz val="9"/>
        <rFont val="Arial"/>
        <family val="0"/>
        <charset val="1"/>
      </rPr>
      <t xml:space="preserve">DICOM </t>
    </r>
    <r>
      <rPr>
        <b val="true"/>
        <sz val="9"/>
        <rFont val="Noto Sans CJK SC"/>
        <family val="2"/>
      </rPr>
      <t xml:space="preserve">파일</t>
    </r>
  </si>
  <si>
    <t xml:space="preserve">변수</t>
  </si>
  <si>
    <t xml:space="preserve">img_file_path</t>
  </si>
  <si>
    <t xml:space="preserve">VARCHAR(255)</t>
  </si>
  <si>
    <r>
      <rPr>
        <sz val="9"/>
        <rFont val="Noto Sans CJK SC"/>
        <family val="2"/>
      </rPr>
      <t xml:space="preserve">비식별 처리 후 </t>
    </r>
    <r>
      <rPr>
        <sz val="9"/>
        <rFont val="Arial"/>
        <family val="0"/>
        <charset val="1"/>
      </rPr>
      <t xml:space="preserve">DICOM </t>
    </r>
    <r>
      <rPr>
        <sz val="9"/>
        <rFont val="Noto Sans CJK SC"/>
        <family val="2"/>
      </rPr>
      <t xml:space="preserve">원본 저장 경로</t>
    </r>
  </si>
  <si>
    <t xml:space="preserve">픽셀 해상도</t>
  </si>
  <si>
    <t xml:space="preserve">img_resolution</t>
  </si>
  <si>
    <t xml:space="preserve">VARCHAR(20)</t>
  </si>
  <si>
    <r>
      <rPr>
        <sz val="9"/>
        <rFont val="Noto Sans CJK SC"/>
        <family val="2"/>
      </rPr>
      <t xml:space="preserve">가로</t>
    </r>
    <r>
      <rPr>
        <sz val="9"/>
        <rFont val="Arial"/>
        <family val="0"/>
        <charset val="1"/>
      </rPr>
      <t xml:space="preserve">x</t>
    </r>
    <r>
      <rPr>
        <sz val="9"/>
        <rFont val="Noto Sans CJK SC"/>
        <family val="2"/>
      </rPr>
      <t xml:space="preserve">세로 픽셀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예 </t>
    </r>
    <r>
      <rPr>
        <sz val="9"/>
        <rFont val="Arial"/>
        <family val="0"/>
        <charset val="1"/>
      </rPr>
      <t xml:space="preserve">2048x2048)</t>
    </r>
  </si>
  <si>
    <t xml:space="preserve">Bit Depth</t>
  </si>
  <si>
    <t xml:space="preserve">img_bit_depth</t>
  </si>
  <si>
    <t xml:space="preserve">TINYINT</t>
  </si>
  <si>
    <r>
      <rPr>
        <sz val="9"/>
        <rFont val="Noto Sans CJK SC"/>
        <family val="2"/>
      </rPr>
      <t xml:space="preserve">픽셀당 비트 수 </t>
    </r>
    <r>
      <rPr>
        <sz val="9"/>
        <rFont val="Arial"/>
        <family val="0"/>
        <charset val="1"/>
      </rPr>
      <t xml:space="preserve">(8 / 12 / 16)</t>
    </r>
  </si>
  <si>
    <t xml:space="preserve">압축 방식</t>
  </si>
  <si>
    <t xml:space="preserve">img_compress_cd</t>
  </si>
  <si>
    <t xml:space="preserve">CHAR(2)</t>
  </si>
  <si>
    <r>
      <rPr>
        <sz val="9"/>
        <rFont val="Arial"/>
        <family val="0"/>
        <charset val="1"/>
      </rPr>
      <t xml:space="preserve">NO </t>
    </r>
    <r>
      <rPr>
        <sz val="9"/>
        <rFont val="Noto Sans CJK SC"/>
        <family val="2"/>
      </rPr>
      <t xml:space="preserve">무압축 </t>
    </r>
    <r>
      <rPr>
        <sz val="9"/>
        <rFont val="Arial"/>
        <family val="0"/>
        <charset val="1"/>
      </rPr>
      <t xml:space="preserve">/ JL JPEG-LS / J2 JPEG2000</t>
    </r>
  </si>
  <si>
    <r>
      <rPr>
        <b val="true"/>
        <sz val="9"/>
        <rFont val="Noto Sans CJK SC"/>
        <family val="2"/>
      </rPr>
      <t xml:space="preserve">시리즈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인스턴스</t>
    </r>
  </si>
  <si>
    <t xml:space="preserve">series_uid</t>
  </si>
  <si>
    <t xml:space="preserve">VARCHAR(64)</t>
  </si>
  <si>
    <r>
      <rPr>
        <sz val="9"/>
        <rFont val="Arial"/>
        <family val="0"/>
        <charset val="1"/>
      </rPr>
      <t xml:space="preserve">DICOM Series Instance UID · </t>
    </r>
    <r>
      <rPr>
        <sz val="9"/>
        <rFont val="Noto Sans CJK SC"/>
        <family val="2"/>
      </rPr>
      <t xml:space="preserve">검사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건에 </t>
    </r>
    <r>
      <rPr>
        <sz val="9"/>
        <rFont val="Arial"/>
        <family val="0"/>
        <charset val="1"/>
      </rPr>
      <t xml:space="preserve">N</t>
    </r>
    <r>
      <rPr>
        <sz val="9"/>
        <rFont val="Noto Sans CJK SC"/>
        <family val="2"/>
      </rPr>
      <t xml:space="preserve">개</t>
    </r>
  </si>
  <si>
    <t xml:space="preserve">파일 용량</t>
  </si>
  <si>
    <t xml:space="preserve">img_bytes</t>
  </si>
  <si>
    <t xml:space="preserve">BIGINT</t>
  </si>
  <si>
    <r>
      <rPr>
        <sz val="9"/>
        <rFont val="Noto Sans CJK SC"/>
        <family val="2"/>
      </rPr>
      <t xml:space="preserve">파일 크기</t>
    </r>
    <r>
      <rPr>
        <sz val="9"/>
        <rFont val="Arial"/>
        <family val="0"/>
        <charset val="1"/>
      </rPr>
      <t xml:space="preserve">(byte) · </t>
    </r>
    <r>
      <rPr>
        <sz val="9"/>
        <rFont val="Noto Sans CJK SC"/>
        <family val="2"/>
      </rPr>
      <t xml:space="preserve">저장 비용 산정용</t>
    </r>
  </si>
  <si>
    <t xml:space="preserve">촬영 조건</t>
  </si>
  <si>
    <t xml:space="preserve">촬영 부위</t>
  </si>
  <si>
    <t xml:space="preserve">img_body_part</t>
  </si>
  <si>
    <r>
      <rPr>
        <sz val="9"/>
        <rFont val="Arial"/>
        <family val="0"/>
        <charset val="1"/>
      </rPr>
      <t xml:space="preserve">THORAX / ABDOMEN / LIMB </t>
    </r>
    <r>
      <rPr>
        <sz val="9"/>
        <rFont val="Noto Sans CJK SC"/>
        <family val="2"/>
      </rPr>
      <t xml:space="preserve">등 표준 부위 코드</t>
    </r>
  </si>
  <si>
    <r>
      <rPr>
        <b val="true"/>
        <sz val="9"/>
        <rFont val="Noto Sans CJK SC"/>
        <family val="2"/>
      </rPr>
      <t xml:space="preserve">자세</t>
    </r>
    <r>
      <rPr>
        <b val="true"/>
        <sz val="9"/>
        <rFont val="Arial"/>
        <family val="0"/>
        <charset val="1"/>
      </rPr>
      <t xml:space="preserve">(VD · DV · Lat)</t>
    </r>
  </si>
  <si>
    <t xml:space="preserve">img_view_cd</t>
  </si>
  <si>
    <t xml:space="preserve">CHAR(3)</t>
  </si>
  <si>
    <r>
      <rPr>
        <sz val="9"/>
        <rFont val="Arial"/>
        <family val="0"/>
        <charset val="1"/>
      </rPr>
      <t xml:space="preserve">VD / DV / LAT — </t>
    </r>
    <r>
      <rPr>
        <sz val="9"/>
        <rFont val="Noto Sans CJK SC"/>
        <family val="2"/>
      </rPr>
      <t xml:space="preserve">판독 정확도에 직접 영향</t>
    </r>
  </si>
  <si>
    <t xml:space="preserve">kVp · mAs</t>
  </si>
  <si>
    <t xml:space="preserve">kvp, mas</t>
  </si>
  <si>
    <t xml:space="preserve">DECIMAL(5,1)</t>
  </si>
  <si>
    <r>
      <rPr>
        <sz val="9"/>
        <rFont val="Noto Sans CJK SC"/>
        <family val="2"/>
      </rPr>
      <t xml:space="preserve">관전압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관전류량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각각 별도 컬럼으로 분리 저장</t>
    </r>
  </si>
  <si>
    <r>
      <rPr>
        <b val="true"/>
        <sz val="9"/>
        <rFont val="Noto Sans CJK SC"/>
        <family val="2"/>
      </rPr>
      <t xml:space="preserve">촬영 거리</t>
    </r>
    <r>
      <rPr>
        <b val="true"/>
        <sz val="9"/>
        <rFont val="Arial"/>
        <family val="0"/>
        <charset val="1"/>
      </rPr>
      <t xml:space="preserve">(SID)</t>
    </r>
  </si>
  <si>
    <t xml:space="preserve">sid_cm</t>
  </si>
  <si>
    <t xml:space="preserve">SMALLINT</t>
  </si>
  <si>
    <r>
      <rPr>
        <sz val="9"/>
        <rFont val="Noto Sans CJK SC"/>
        <family val="2"/>
      </rPr>
      <t xml:space="preserve">초점</t>
    </r>
    <r>
      <rPr>
        <sz val="9"/>
        <rFont val="Arial"/>
        <family val="0"/>
        <charset val="1"/>
      </rPr>
      <t xml:space="preserve">-</t>
    </r>
    <r>
      <rPr>
        <sz val="9"/>
        <rFont val="Noto Sans CJK SC"/>
        <family val="2"/>
      </rPr>
      <t xml:space="preserve">검출기 거리</t>
    </r>
    <r>
      <rPr>
        <sz val="9"/>
        <rFont val="Arial"/>
        <family val="0"/>
        <charset val="1"/>
      </rPr>
      <t xml:space="preserve">(cm) · </t>
    </r>
    <r>
      <rPr>
        <sz val="9"/>
        <rFont val="Noto Sans CJK SC"/>
        <family val="2"/>
      </rPr>
      <t xml:space="preserve">확대율 보정에 사용</t>
    </r>
  </si>
  <si>
    <t xml:space="preserve">그리드 사용</t>
  </si>
  <si>
    <t xml:space="preserve">grid_yn</t>
  </si>
  <si>
    <t xml:space="preserve">CHAR(1)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</si>
  <si>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산란선 제거 격자 사용 여부</t>
    </r>
  </si>
  <si>
    <t xml:space="preserve">조영제 사용</t>
  </si>
  <si>
    <t xml:space="preserve">contrast_yn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</si>
  <si>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판독 해석 분기 조건</t>
    </r>
  </si>
  <si>
    <r>
      <rPr>
        <sz val="9"/>
        <rFont val="Noto Sans CJK SC"/>
        <family val="2"/>
      </rPr>
      <t xml:space="preserve">장비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환경</t>
    </r>
  </si>
  <si>
    <r>
      <rPr>
        <b val="true"/>
        <sz val="9"/>
        <rFont val="Noto Sans CJK SC"/>
        <family val="2"/>
      </rPr>
      <t xml:space="preserve">제조사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모델</t>
    </r>
  </si>
  <si>
    <t xml:space="preserve">device_model</t>
  </si>
  <si>
    <t xml:space="preserve">VARCHAR(50)</t>
  </si>
  <si>
    <r>
      <rPr>
        <sz val="9"/>
        <rFont val="Noto Sans CJK SC"/>
        <family val="2"/>
      </rPr>
      <t xml:space="preserve">장비 제조사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모델명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화질 편차 보정 변수</t>
    </r>
  </si>
  <si>
    <r>
      <rPr>
        <b val="true"/>
        <sz val="9"/>
        <rFont val="Arial"/>
        <family val="0"/>
        <charset val="1"/>
      </rPr>
      <t xml:space="preserve">DR · CR </t>
    </r>
    <r>
      <rPr>
        <b val="true"/>
        <sz val="9"/>
        <rFont val="Noto Sans CJK SC"/>
        <family val="2"/>
      </rPr>
      <t xml:space="preserve">구분</t>
    </r>
  </si>
  <si>
    <t xml:space="preserve">detector_cd</t>
  </si>
  <si>
    <r>
      <rPr>
        <sz val="9"/>
        <rFont val="Arial"/>
        <family val="0"/>
        <charset val="1"/>
      </rPr>
      <t xml:space="preserve">DR / CR · </t>
    </r>
    <r>
      <rPr>
        <sz val="9"/>
        <rFont val="Noto Sans CJK SC"/>
        <family val="2"/>
      </rPr>
      <t xml:space="preserve">화질 특성이 달라 전처리 분기</t>
    </r>
  </si>
  <si>
    <t xml:space="preserve">검출기 종류</t>
  </si>
  <si>
    <t xml:space="preserve">detector_type</t>
  </si>
  <si>
    <t xml:space="preserve">VARCHAR(30)</t>
  </si>
  <si>
    <r>
      <rPr>
        <sz val="9"/>
        <rFont val="Noto Sans CJK SC"/>
        <family val="2"/>
      </rPr>
      <t xml:space="preserve">검출기 방식 </t>
    </r>
    <r>
      <rPr>
        <sz val="9"/>
        <rFont val="Arial"/>
        <family val="0"/>
        <charset val="1"/>
      </rPr>
      <t xml:space="preserve">(a-Si · CsI </t>
    </r>
    <r>
      <rPr>
        <sz val="9"/>
        <rFont val="Noto Sans CJK SC"/>
        <family val="2"/>
      </rPr>
      <t xml:space="preserve">등</t>
    </r>
    <r>
      <rPr>
        <sz val="9"/>
        <rFont val="Arial"/>
        <family val="0"/>
        <charset val="1"/>
      </rPr>
      <t xml:space="preserve">)</t>
    </r>
  </si>
  <si>
    <t xml:space="preserve">캘리브레이션일</t>
  </si>
  <si>
    <t xml:space="preserve">calib_dt</t>
  </si>
  <si>
    <t xml:space="preserve">DATE</t>
  </si>
  <si>
    <r>
      <rPr>
        <sz val="9"/>
        <rFont val="Noto Sans CJK SC"/>
        <family val="2"/>
      </rPr>
      <t xml:space="preserve">최근 장비 교정일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화질 신뢰도 보조 지표</t>
    </r>
  </si>
  <si>
    <t xml:space="preserve">병원 코드</t>
  </si>
  <si>
    <t xml:space="preserve">hospital_cd</t>
  </si>
  <si>
    <t xml:space="preserve">VARCHAR(10)</t>
  </si>
  <si>
    <r>
      <rPr>
        <sz val="9"/>
        <rFont val="Noto Sans CJK SC"/>
        <family val="2"/>
      </rPr>
      <t xml:space="preserve">데이터 제공 병원 식별 코드 </t>
    </r>
    <r>
      <rPr>
        <sz val="9"/>
        <rFont val="Arial"/>
        <family val="0"/>
        <charset val="1"/>
      </rPr>
      <t xml:space="preserve">(FK)</t>
    </r>
  </si>
  <si>
    <r>
      <rPr>
        <b val="true"/>
        <sz val="9"/>
        <rFont val="Noto Sans CJK SC"/>
        <family val="2"/>
      </rPr>
      <t xml:space="preserve">촬영자 </t>
    </r>
    <r>
      <rPr>
        <b val="true"/>
        <sz val="9"/>
        <rFont val="Arial"/>
        <family val="0"/>
        <charset val="1"/>
      </rPr>
      <t xml:space="preserve">ID</t>
    </r>
  </si>
  <si>
    <t xml:space="preserve">operator_id</t>
  </si>
  <si>
    <r>
      <rPr>
        <sz val="9"/>
        <rFont val="Noto Sans CJK SC"/>
        <family val="2"/>
      </rPr>
      <t xml:space="preserve">촬영 수행자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촬영 품질 편차 분석에 사용</t>
    </r>
  </si>
  <si>
    <t xml:space="preserve">영상 품질</t>
  </si>
  <si>
    <r>
      <rPr>
        <b val="true"/>
        <sz val="9"/>
        <rFont val="Noto Sans CJK SC"/>
        <family val="2"/>
      </rPr>
      <t xml:space="preserve">노출 지수</t>
    </r>
    <r>
      <rPr>
        <b val="true"/>
        <sz val="9"/>
        <rFont val="Arial"/>
        <family val="0"/>
        <charset val="1"/>
      </rPr>
      <t xml:space="preserve">(EI)</t>
    </r>
  </si>
  <si>
    <t xml:space="preserve">exposure_index</t>
  </si>
  <si>
    <t xml:space="preserve">DECIMAL(6,2)</t>
  </si>
  <si>
    <r>
      <rPr>
        <sz val="9"/>
        <rFont val="Noto Sans CJK SC"/>
        <family val="2"/>
      </rPr>
      <t xml:space="preserve">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저노출 판별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저품질 입력 차단 기준</t>
    </r>
  </si>
  <si>
    <t xml:space="preserve">체위 오류</t>
  </si>
  <si>
    <t xml:space="preserve">malposition_yn</t>
  </si>
  <si>
    <r>
      <rPr>
        <sz val="9"/>
        <rFont val="Arial"/>
        <family val="0"/>
        <charset val="1"/>
      </rPr>
      <t xml:space="preserve">Y / N · Y</t>
    </r>
    <r>
      <rPr>
        <sz val="9"/>
        <rFont val="Noto Sans CJK SC"/>
        <family val="2"/>
      </rPr>
      <t xml:space="preserve">는 학습 데이터에서 제외 검토</t>
    </r>
  </si>
  <si>
    <t xml:space="preserve">움직임 아티팩트</t>
  </si>
  <si>
    <t xml:space="preserve">motion_artifact_yn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</si>
  <si>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호흡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움직임에 의한 흐림</t>
    </r>
  </si>
  <si>
    <r>
      <rPr>
        <b val="true"/>
        <sz val="9"/>
        <rFont val="Noto Sans CJK SC"/>
        <family val="2"/>
      </rPr>
      <t xml:space="preserve">절단</t>
    </r>
    <r>
      <rPr>
        <b val="true"/>
        <sz val="9"/>
        <rFont val="Arial"/>
        <family val="0"/>
        <charset val="1"/>
      </rPr>
      <t xml:space="preserve">(cut-off)</t>
    </r>
  </si>
  <si>
    <t xml:space="preserve">cutoff_yn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</si>
  <si>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관심 부위가 화면 밖으로 잘림</t>
    </r>
  </si>
  <si>
    <r>
      <rPr>
        <b val="true"/>
        <sz val="9"/>
        <rFont val="Noto Sans CJK SC"/>
        <family val="2"/>
      </rPr>
      <t xml:space="preserve">흡기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호기 시점</t>
    </r>
  </si>
  <si>
    <t xml:space="preserve">resp_phase_cd</t>
  </si>
  <si>
    <r>
      <rPr>
        <sz val="9"/>
        <rFont val="Arial"/>
        <family val="0"/>
        <charset val="1"/>
      </rPr>
      <t xml:space="preserve">INS </t>
    </r>
    <r>
      <rPr>
        <sz val="9"/>
        <rFont val="Noto Sans CJK SC"/>
        <family val="2"/>
      </rPr>
      <t xml:space="preserve">흡기 </t>
    </r>
    <r>
      <rPr>
        <sz val="9"/>
        <rFont val="Arial"/>
        <family val="0"/>
        <charset val="1"/>
      </rPr>
      <t xml:space="preserve">/ EXP </t>
    </r>
    <r>
      <rPr>
        <sz val="9"/>
        <rFont val="Noto Sans CJK SC"/>
        <family val="2"/>
      </rPr>
      <t xml:space="preserve">호기 </t>
    </r>
    <r>
      <rPr>
        <sz val="9"/>
        <rFont val="Arial"/>
        <family val="0"/>
        <charset val="1"/>
      </rPr>
      <t xml:space="preserve">/ UNK · </t>
    </r>
    <r>
      <rPr>
        <sz val="9"/>
        <rFont val="Noto Sans CJK SC"/>
        <family val="2"/>
      </rPr>
      <t xml:space="preserve">흉부 판독 필수</t>
    </r>
  </si>
  <si>
    <t xml:space="preserve">재촬영 여부</t>
  </si>
  <si>
    <t xml:space="preserve">retake_yn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</si>
  <si>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재촬영 시 최종본만 학습에 사용</t>
    </r>
  </si>
  <si>
    <r>
      <rPr>
        <sz val="9"/>
        <rFont val="Noto Sans CJK SC"/>
        <family val="2"/>
      </rPr>
      <t xml:space="preserve">판독 소견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정답</t>
    </r>
    <r>
      <rPr>
        <sz val="9"/>
        <rFont val="Arial"/>
        <family val="0"/>
        <charset val="1"/>
      </rPr>
      <t xml:space="preserve">)</t>
    </r>
  </si>
  <si>
    <t xml:space="preserve">기존 판독문 원문</t>
  </si>
  <si>
    <t xml:space="preserve">report_text_raw</t>
  </si>
  <si>
    <t xml:space="preserve">TEXT</t>
  </si>
  <si>
    <r>
      <rPr>
        <sz val="9"/>
        <rFont val="Noto Sans CJK SC"/>
        <family val="2"/>
      </rPr>
      <t xml:space="preserve">수의사 자유서술 소견 원문 — </t>
    </r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정답</t>
    </r>
    <r>
      <rPr>
        <sz val="9"/>
        <rFont val="Arial"/>
        <family val="0"/>
        <charset val="1"/>
      </rPr>
      <t xml:space="preserve">(GT) </t>
    </r>
    <r>
      <rPr>
        <sz val="9"/>
        <rFont val="Noto Sans CJK SC"/>
        <family val="2"/>
      </rPr>
      <t xml:space="preserve">원천</t>
    </r>
  </si>
  <si>
    <t xml:space="preserve">소견 구조화 항목</t>
  </si>
  <si>
    <t xml:space="preserve">파생</t>
  </si>
  <si>
    <t xml:space="preserve">finding_struct_cd</t>
  </si>
  <si>
    <r>
      <rPr>
        <sz val="9"/>
        <rFont val="Noto Sans CJK SC"/>
        <family val="2"/>
      </rPr>
      <t xml:space="preserve">원문에서 추출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코드화한 소견 </t>
    </r>
    <r>
      <rPr>
        <sz val="9"/>
        <rFont val="Arial"/>
        <family val="0"/>
        <charset val="1"/>
      </rPr>
      <t xml:space="preserve">(NLP 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</si>
  <si>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병변 부위 좌표</t>
  </si>
  <si>
    <t xml:space="preserve">lesion_bbox</t>
  </si>
  <si>
    <r>
      <rPr>
        <sz val="9"/>
        <rFont val="Arial"/>
        <family val="0"/>
        <charset val="1"/>
      </rPr>
      <t xml:space="preserve">x,y,w,h </t>
    </r>
    <r>
      <rPr>
        <sz val="9"/>
        <rFont val="Noto Sans CJK SC"/>
        <family val="2"/>
      </rPr>
      <t xml:space="preserve">정규화 좌표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전문의 검증본</t>
    </r>
  </si>
  <si>
    <t xml:space="preserve">최종 진단명</t>
  </si>
  <si>
    <t xml:space="preserve">final_dx_cd</t>
  </si>
  <si>
    <r>
      <rPr>
        <sz val="9"/>
        <rFont val="Noto Sans CJK SC"/>
        <family val="2"/>
      </rPr>
      <t xml:space="preserve">확진 결과 표준 코드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학습 라벨의 기준</t>
    </r>
  </si>
  <si>
    <r>
      <rPr>
        <b val="true"/>
        <sz val="9"/>
        <rFont val="Noto Sans CJK SC"/>
        <family val="2"/>
      </rPr>
      <t xml:space="preserve">판독 수의사 </t>
    </r>
    <r>
      <rPr>
        <b val="true"/>
        <sz val="9"/>
        <rFont val="Arial"/>
        <family val="0"/>
        <charset val="1"/>
      </rPr>
      <t xml:space="preserve">ID</t>
    </r>
  </si>
  <si>
    <t xml:space="preserve">reader_vet_id</t>
  </si>
  <si>
    <r>
      <rPr>
        <sz val="9"/>
        <rFont val="Noto Sans CJK SC"/>
        <family val="2"/>
      </rPr>
      <t xml:space="preserve">판독자 식별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판독자 간 일치도 산출에 사용</t>
    </r>
  </si>
  <si>
    <t xml:space="preserve">판독 일시</t>
  </si>
  <si>
    <t xml:space="preserve">report_dt</t>
  </si>
  <si>
    <t xml:space="preserve">DATETIME</t>
  </si>
  <si>
    <t xml:space="preserve">판독 완료 시각</t>
  </si>
  <si>
    <t xml:space="preserve">영상 계열 확장</t>
  </si>
  <si>
    <r>
      <rPr>
        <b val="true"/>
        <sz val="9"/>
        <rFont val="Noto Sans CJK SC"/>
        <family val="2"/>
      </rPr>
      <t xml:space="preserve">초음파 정지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동영상</t>
    </r>
  </si>
  <si>
    <t xml:space="preserve">us_media_path</t>
  </si>
  <si>
    <r>
      <rPr>
        <sz val="9"/>
        <rFont val="Noto Sans CJK SC"/>
        <family val="2"/>
      </rPr>
      <t xml:space="preserve">초음파 정지영상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클립 저장 경로</t>
    </r>
  </si>
  <si>
    <r>
      <rPr>
        <b val="true"/>
        <sz val="9"/>
        <rFont val="Arial"/>
        <family val="0"/>
        <charset val="1"/>
      </rPr>
      <t xml:space="preserve">CT · MRI </t>
    </r>
    <r>
      <rPr>
        <b val="true"/>
        <sz val="9"/>
        <rFont val="Noto Sans CJK SC"/>
        <family val="2"/>
      </rPr>
      <t xml:space="preserve">시리즈</t>
    </r>
  </si>
  <si>
    <t xml:space="preserve">ct_mr_series_uid</t>
  </si>
  <si>
    <r>
      <rPr>
        <sz val="9"/>
        <rFont val="Arial"/>
        <family val="0"/>
        <charset val="1"/>
      </rPr>
      <t xml:space="preserve">CT / MRI </t>
    </r>
    <r>
      <rPr>
        <sz val="9"/>
        <rFont val="Noto Sans CJK SC"/>
        <family val="2"/>
      </rPr>
      <t xml:space="preserve">시리즈 </t>
    </r>
    <r>
      <rPr>
        <sz val="9"/>
        <rFont val="Arial"/>
        <family val="0"/>
        <charset val="1"/>
      </rPr>
      <t xml:space="preserve">UID · 2</t>
    </r>
    <r>
      <rPr>
        <sz val="9"/>
        <rFont val="Noto Sans CJK SC"/>
        <family val="2"/>
      </rPr>
      <t xml:space="preserve">단계 확장 대상</t>
    </r>
  </si>
  <si>
    <t xml:space="preserve">내시경 영상</t>
  </si>
  <si>
    <t xml:space="preserve">endo_media_path</t>
  </si>
  <si>
    <r>
      <rPr>
        <sz val="9"/>
        <rFont val="Noto Sans CJK SC"/>
        <family val="2"/>
      </rPr>
      <t xml:space="preserve">내시경 영상 경로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보유 병원 제한적</t>
    </r>
  </si>
  <si>
    <r>
      <rPr>
        <b val="true"/>
        <sz val="9"/>
        <rFont val="Noto Sans CJK SC"/>
        <family val="2"/>
      </rPr>
      <t xml:space="preserve">피부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안구 사진</t>
    </r>
  </si>
  <si>
    <t xml:space="preserve">photo_path</t>
  </si>
  <si>
    <r>
      <rPr>
        <sz val="9"/>
        <rFont val="Noto Sans CJK SC"/>
        <family val="2"/>
      </rPr>
      <t xml:space="preserve">일반 카메라로 촬영한 피부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안구 이미지</t>
    </r>
  </si>
  <si>
    <t xml:space="preserve">심초음파 계측값</t>
  </si>
  <si>
    <t xml:space="preserve">echo_measure_json</t>
  </si>
  <si>
    <t xml:space="preserve">JSON</t>
  </si>
  <si>
    <r>
      <rPr>
        <sz val="9"/>
        <rFont val="Arial"/>
        <family val="0"/>
        <charset val="1"/>
      </rPr>
      <t xml:space="preserve">EF · LA/Ao </t>
    </r>
    <r>
      <rPr>
        <sz val="9"/>
        <rFont val="Noto Sans CJK SC"/>
        <family val="2"/>
      </rPr>
      <t xml:space="preserve">등 심장 계측값 집합</t>
    </r>
  </si>
  <si>
    <t xml:space="preserve">모달리티 코드</t>
  </si>
  <si>
    <t xml:space="preserve">modality_cd</t>
  </si>
  <si>
    <t xml:space="preserve">DX / US / CT / MR / ES</t>
  </si>
  <si>
    <r>
      <rPr>
        <sz val="9"/>
        <rFont val="Noto Sans CJK SC"/>
        <family val="2"/>
      </rPr>
      <t xml:space="preserve">시계열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비교</t>
    </r>
  </si>
  <si>
    <t xml:space="preserve">이전 촬영 일자</t>
  </si>
  <si>
    <t xml:space="preserve">prior_exam_dt</t>
  </si>
  <si>
    <r>
      <rPr>
        <sz val="9"/>
        <rFont val="Noto Sans CJK SC"/>
        <family val="2"/>
      </rPr>
      <t xml:space="preserve">동일 부위 직전 촬영 시각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경과 비교의 연결키</t>
    </r>
  </si>
  <si>
    <t xml:space="preserve">동일 부위 반복</t>
  </si>
  <si>
    <t xml:space="preserve">same_part_seq</t>
  </si>
  <si>
    <r>
      <rPr>
        <sz val="9"/>
        <rFont val="Noto Sans CJK SC"/>
        <family val="2"/>
      </rPr>
      <t xml:space="preserve">동일 부위 촬영 순번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</si>
  <si>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치료 전후 쌍</t>
  </si>
  <si>
    <t xml:space="preserve">pre_post_pair_id</t>
  </si>
  <si>
    <r>
      <rPr>
        <sz val="9"/>
        <rFont val="Noto Sans CJK SC"/>
        <family val="2"/>
      </rPr>
      <t xml:space="preserve">치료 전후 영상 쌍 식별자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</si>
  <si>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경과 관찰 간격</t>
  </si>
  <si>
    <t xml:space="preserve">followup_gap_days</t>
  </si>
  <si>
    <r>
      <rPr>
        <sz val="9"/>
        <rFont val="Noto Sans CJK SC"/>
        <family val="2"/>
      </rPr>
      <t xml:space="preserve">직전 촬영과의 경과 일수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</si>
  <si>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누적 촬영 횟수</t>
  </si>
  <si>
    <t xml:space="preserve">exam_cum_cnt</t>
  </si>
  <si>
    <r>
      <rPr>
        <sz val="9"/>
        <rFont val="Noto Sans CJK SC"/>
        <family val="2"/>
      </rPr>
      <t xml:space="preserve">개체별 누적 촬영 건수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</si>
  <si>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변화량 주석</t>
  </si>
  <si>
    <t xml:space="preserve">change_note</t>
  </si>
  <si>
    <t xml:space="preserve">이전 대비 변화에 대한 판독 주석</t>
  </si>
  <si>
    <r>
      <rPr>
        <sz val="9"/>
        <rFont val="Noto Sans CJK SC"/>
        <family val="2"/>
      </rPr>
      <t xml:space="preserve">연동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수집</t>
    </r>
  </si>
  <si>
    <r>
      <rPr>
        <b val="true"/>
        <sz val="9"/>
        <rFont val="Arial"/>
        <family val="0"/>
        <charset val="1"/>
      </rPr>
      <t xml:space="preserve">PACS </t>
    </r>
    <r>
      <rPr>
        <b val="true"/>
        <sz val="9"/>
        <rFont val="Noto Sans CJK SC"/>
        <family val="2"/>
      </rPr>
      <t xml:space="preserve">연동 방식</t>
    </r>
  </si>
  <si>
    <t xml:space="preserve">준거</t>
  </si>
  <si>
    <t xml:space="preserve">—</t>
  </si>
  <si>
    <r>
      <rPr>
        <sz val="9"/>
        <rFont val="Noto Sans CJK SC"/>
        <family val="2"/>
      </rPr>
      <t xml:space="preserve">병원별 </t>
    </r>
    <r>
      <rPr>
        <sz val="9"/>
        <rFont val="Arial"/>
        <family val="0"/>
        <charset val="1"/>
      </rPr>
      <t xml:space="preserve">PACS </t>
    </r>
    <r>
      <rPr>
        <sz val="9"/>
        <rFont val="Noto Sans CJK SC"/>
        <family val="2"/>
      </rPr>
      <t xml:space="preserve">연동 규격 — 연동 설계서로 관리</t>
    </r>
  </si>
  <si>
    <r>
      <rPr>
        <b val="true"/>
        <sz val="9"/>
        <rFont val="Arial"/>
        <family val="0"/>
        <charset val="1"/>
      </rPr>
      <t xml:space="preserve">DICOM </t>
    </r>
    <r>
      <rPr>
        <b val="true"/>
        <sz val="9"/>
        <rFont val="Noto Sans CJK SC"/>
        <family val="2"/>
      </rPr>
      <t xml:space="preserve">태그 매핑</t>
    </r>
  </si>
  <si>
    <r>
      <rPr>
        <sz val="9"/>
        <rFont val="Arial"/>
        <family val="0"/>
        <charset val="1"/>
      </rPr>
      <t xml:space="preserve">DICOM </t>
    </r>
    <r>
      <rPr>
        <sz val="9"/>
        <rFont val="Noto Sans CJK SC"/>
        <family val="2"/>
      </rPr>
      <t xml:space="preserve">태그 → 내부 컬럼 매핑 정의서로 관리</t>
    </r>
  </si>
  <si>
    <t xml:space="preserve">DIMSE · DICOMweb</t>
  </si>
  <si>
    <t xml:space="preserve">전송 프로토콜 선택 기준 — 연동 표준 문서</t>
  </si>
  <si>
    <t xml:space="preserve">익명화 처리</t>
  </si>
  <si>
    <t xml:space="preserve">anonymize_yn</t>
  </si>
  <si>
    <r>
      <rPr>
        <sz val="9"/>
        <rFont val="Arial"/>
        <family val="0"/>
        <charset val="1"/>
      </rPr>
      <t xml:space="preserve">Y / N · N</t>
    </r>
    <r>
      <rPr>
        <sz val="9"/>
        <rFont val="Noto Sans CJK SC"/>
        <family val="2"/>
      </rPr>
      <t xml:space="preserve">은 학습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반출 금지</t>
    </r>
  </si>
  <si>
    <t xml:space="preserve">보존 기간</t>
  </si>
  <si>
    <t xml:space="preserve">retention_months</t>
  </si>
  <si>
    <r>
      <rPr>
        <sz val="9"/>
        <rFont val="Noto Sans CJK SC"/>
        <family val="2"/>
      </rPr>
      <t xml:space="preserve">영상 보존 개월 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병원 계약 조건</t>
    </r>
  </si>
  <si>
    <t xml:space="preserve">반출 동의 여부</t>
  </si>
  <si>
    <t xml:space="preserve">export_consent_yn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</si>
  <si>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병원 밖 반출 가능 여부</t>
    </r>
  </si>
  <si>
    <t xml:space="preserve">②</t>
  </si>
  <si>
    <r>
      <rPr>
        <sz val="9"/>
        <rFont val="Noto Sans CJK SC"/>
        <family val="2"/>
      </rPr>
      <t xml:space="preserve">혈액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진단검사</t>
    </r>
  </si>
  <si>
    <r>
      <rPr>
        <sz val="9"/>
        <rFont val="Noto Sans CJK SC"/>
        <family val="2"/>
      </rPr>
      <t xml:space="preserve">혈구검사</t>
    </r>
    <r>
      <rPr>
        <sz val="9"/>
        <rFont val="Arial"/>
        <family val="0"/>
        <charset val="1"/>
      </rPr>
      <t xml:space="preserve">(CBC)</t>
    </r>
  </si>
  <si>
    <t xml:space="preserve">WBC · RBC</t>
  </si>
  <si>
    <t xml:space="preserve">코드값</t>
  </si>
  <si>
    <t xml:space="preserve">lab_item_cd = WBC / RBC</t>
  </si>
  <si>
    <r>
      <rPr>
        <sz val="9"/>
        <rFont val="Noto Sans CJK SC"/>
        <family val="2"/>
      </rPr>
      <t xml:space="preserve">백혈구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적혈구 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수치는 </t>
    </r>
    <r>
      <rPr>
        <sz val="9"/>
        <rFont val="Arial"/>
        <family val="0"/>
        <charset val="1"/>
      </rPr>
      <t xml:space="preserve">lab_value</t>
    </r>
    <r>
      <rPr>
        <sz val="9"/>
        <rFont val="Noto Sans CJK SC"/>
        <family val="2"/>
      </rPr>
      <t xml:space="preserve">에 저장</t>
    </r>
  </si>
  <si>
    <t xml:space="preserve">HCT · HGB</t>
  </si>
  <si>
    <t xml:space="preserve">lab_item_cd = HCT / HGB</t>
  </si>
  <si>
    <r>
      <rPr>
        <sz val="9"/>
        <rFont val="Noto Sans CJK SC"/>
        <family val="2"/>
      </rPr>
      <t xml:space="preserve">적혈구용적률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혈색소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빈혈 판정</t>
    </r>
  </si>
  <si>
    <r>
      <rPr>
        <b val="true"/>
        <sz val="9"/>
        <rFont val="Arial"/>
        <family val="0"/>
        <charset val="1"/>
      </rPr>
      <t xml:space="preserve">PLT </t>
    </r>
    <r>
      <rPr>
        <b val="true"/>
        <sz val="9"/>
        <rFont val="Noto Sans CJK SC"/>
        <family val="2"/>
      </rPr>
      <t xml:space="preserve">수치</t>
    </r>
  </si>
  <si>
    <t xml:space="preserve">lab_item_cd = PLT</t>
  </si>
  <si>
    <r>
      <rPr>
        <sz val="9"/>
        <rFont val="Noto Sans CJK SC"/>
        <family val="2"/>
      </rPr>
      <t xml:space="preserve">혈소판 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지혈 이상 판정</t>
    </r>
  </si>
  <si>
    <t xml:space="preserve">혈구 분율</t>
  </si>
  <si>
    <t xml:space="preserve">lab_item_cd = NEU / LYM / MON / EOS</t>
  </si>
  <si>
    <r>
      <rPr>
        <sz val="9"/>
        <rFont val="Noto Sans CJK SC"/>
        <family val="2"/>
      </rPr>
      <t xml:space="preserve">백혈구 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분획 비율</t>
    </r>
  </si>
  <si>
    <t xml:space="preserve">망상적혈구</t>
  </si>
  <si>
    <t xml:space="preserve">lab_item_cd = RET</t>
  </si>
  <si>
    <r>
      <rPr>
        <sz val="9"/>
        <rFont val="Noto Sans CJK SC"/>
        <family val="2"/>
      </rPr>
      <t xml:space="preserve">망상적혈구 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재생성 빈혈 감별</t>
    </r>
  </si>
  <si>
    <t xml:space="preserve">혈액도말 소견</t>
  </si>
  <si>
    <t xml:space="preserve">smear_note</t>
  </si>
  <si>
    <r>
      <rPr>
        <sz val="9"/>
        <rFont val="Noto Sans CJK SC"/>
        <family val="2"/>
      </rPr>
      <t xml:space="preserve">도말 현미경 소견 서술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표준화 필요</t>
    </r>
  </si>
  <si>
    <t xml:space="preserve">혈청화학</t>
  </si>
  <si>
    <t xml:space="preserve">ALT · ALP</t>
  </si>
  <si>
    <t xml:space="preserve">lab_item_cd = ALT / ALP</t>
  </si>
  <si>
    <r>
      <rPr>
        <sz val="9"/>
        <rFont val="Noto Sans CJK SC"/>
        <family val="2"/>
      </rPr>
      <t xml:space="preserve">간 효소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간담도 지표</t>
    </r>
  </si>
  <si>
    <t xml:space="preserve">BUN · CREA</t>
  </si>
  <si>
    <t xml:space="preserve">lab_item_cd = BUN / CREA</t>
  </si>
  <si>
    <t xml:space="preserve">신장 기능 지표</t>
  </si>
  <si>
    <r>
      <rPr>
        <b val="true"/>
        <sz val="9"/>
        <rFont val="Noto Sans CJK SC"/>
        <family val="2"/>
      </rPr>
      <t xml:space="preserve">총단백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알부민</t>
    </r>
  </si>
  <si>
    <t xml:space="preserve">lab_item_cd = TP / ALB</t>
  </si>
  <si>
    <r>
      <rPr>
        <sz val="9"/>
        <rFont val="Noto Sans CJK SC"/>
        <family val="2"/>
      </rPr>
      <t xml:space="preserve">단백 지표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영양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염증 평가</t>
    </r>
  </si>
  <si>
    <r>
      <rPr>
        <b val="true"/>
        <sz val="9"/>
        <rFont val="Noto Sans CJK SC"/>
        <family val="2"/>
      </rPr>
      <t xml:space="preserve">혈당</t>
    </r>
    <r>
      <rPr>
        <b val="true"/>
        <sz val="9"/>
        <rFont val="Arial"/>
        <family val="0"/>
        <charset val="1"/>
      </rPr>
      <t xml:space="preserve">(GLU)</t>
    </r>
  </si>
  <si>
    <t xml:space="preserve">lab_item_cd = GLU</t>
  </si>
  <si>
    <r>
      <rPr>
        <sz val="9"/>
        <rFont val="Noto Sans CJK SC"/>
        <family val="2"/>
      </rPr>
      <t xml:space="preserve">혈당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채혈 조건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공복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과 함께 해석</t>
    </r>
  </si>
  <si>
    <t xml:space="preserve">총빌리루빈</t>
  </si>
  <si>
    <t xml:space="preserve">lab_item_cd = TBIL</t>
  </si>
  <si>
    <t xml:space="preserve">담즙 배설 지표</t>
  </si>
  <si>
    <t xml:space="preserve">콜레스테롤</t>
  </si>
  <si>
    <t xml:space="preserve">lab_item_cd = CHOL</t>
  </si>
  <si>
    <t xml:space="preserve">지질 지표</t>
  </si>
  <si>
    <r>
      <rPr>
        <sz val="9"/>
        <rFont val="Noto Sans CJK SC"/>
        <family val="2"/>
      </rPr>
      <t xml:space="preserve">특수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바이오마커</t>
    </r>
  </si>
  <si>
    <t xml:space="preserve">SDMA</t>
  </si>
  <si>
    <t xml:space="preserve">lab_item_cd = SDMA</t>
  </si>
  <si>
    <t xml:space="preserve">조기 신장 손상 지표</t>
  </si>
  <si>
    <r>
      <rPr>
        <b val="true"/>
        <sz val="9"/>
        <rFont val="Arial"/>
        <family val="0"/>
        <charset val="1"/>
      </rPr>
      <t xml:space="preserve">cTnI(</t>
    </r>
    <r>
      <rPr>
        <b val="true"/>
        <sz val="9"/>
        <rFont val="Noto Sans CJK SC"/>
        <family val="2"/>
      </rPr>
      <t xml:space="preserve">심장</t>
    </r>
    <r>
      <rPr>
        <b val="true"/>
        <sz val="9"/>
        <rFont val="Arial"/>
        <family val="0"/>
        <charset val="1"/>
      </rPr>
      <t xml:space="preserve">)</t>
    </r>
  </si>
  <si>
    <t xml:space="preserve">lab_item_cd = CTNI</t>
  </si>
  <si>
    <r>
      <rPr>
        <sz val="9"/>
        <rFont val="Noto Sans CJK SC"/>
        <family val="2"/>
      </rPr>
      <t xml:space="preserve">심근 손상 지표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심장 영상과 교차검증</t>
    </r>
  </si>
  <si>
    <t xml:space="preserve">NT-proBNP</t>
  </si>
  <si>
    <t xml:space="preserve">lab_item_cd = NTPROBNP</t>
  </si>
  <si>
    <r>
      <rPr>
        <sz val="9"/>
        <rFont val="Noto Sans CJK SC"/>
        <family val="2"/>
      </rPr>
      <t xml:space="preserve">심부전 지표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심비대 판독의 수치 근거</t>
    </r>
  </si>
  <si>
    <t xml:space="preserve">CRP · SAA</t>
  </si>
  <si>
    <t xml:space="preserve">lab_item_cd = CRP / SAA</t>
  </si>
  <si>
    <t xml:space="preserve">급성기 염증 지표</t>
  </si>
  <si>
    <t xml:space="preserve">T4 · cortisol</t>
  </si>
  <si>
    <t xml:space="preserve">lab_item_cd = T4 / CORT</t>
  </si>
  <si>
    <r>
      <rPr>
        <sz val="9"/>
        <rFont val="Noto Sans CJK SC"/>
        <family val="2"/>
      </rPr>
      <t xml:space="preserve">갑상선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부신 내분비 지표</t>
    </r>
  </si>
  <si>
    <r>
      <rPr>
        <b val="true"/>
        <sz val="9"/>
        <rFont val="Arial"/>
        <family val="0"/>
        <charset val="1"/>
      </rPr>
      <t xml:space="preserve">cPL(</t>
    </r>
    <r>
      <rPr>
        <b val="true"/>
        <sz val="9"/>
        <rFont val="Noto Sans CJK SC"/>
        <family val="2"/>
      </rPr>
      <t xml:space="preserve">췌장</t>
    </r>
    <r>
      <rPr>
        <b val="true"/>
        <sz val="9"/>
        <rFont val="Arial"/>
        <family val="0"/>
        <charset val="1"/>
      </rPr>
      <t xml:space="preserve">)</t>
    </r>
  </si>
  <si>
    <t xml:space="preserve">lab_item_cd = CPL</t>
  </si>
  <si>
    <r>
      <rPr>
        <sz val="9"/>
        <rFont val="Noto Sans CJK SC"/>
        <family val="2"/>
      </rPr>
      <t xml:space="preserve">췌장 특이 리파아제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췌장염 지표</t>
    </r>
  </si>
  <si>
    <r>
      <rPr>
        <sz val="9"/>
        <rFont val="Noto Sans CJK SC"/>
        <family val="2"/>
      </rPr>
      <t xml:space="preserve">전해질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혈액가스</t>
    </r>
  </si>
  <si>
    <t xml:space="preserve">Na · K · Cl</t>
  </si>
  <si>
    <t xml:space="preserve">lab_item_cd = NA / K / CL</t>
  </si>
  <si>
    <t xml:space="preserve">주요 전해질</t>
  </si>
  <si>
    <t xml:space="preserve">이온화 칼슘</t>
  </si>
  <si>
    <t xml:space="preserve">lab_item_cd = ICA</t>
  </si>
  <si>
    <r>
      <rPr>
        <sz val="9"/>
        <rFont val="Noto Sans CJK SC"/>
        <family val="2"/>
      </rPr>
      <t xml:space="preserve">이온화 칼슘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총칼슘보다 임상 민감</t>
    </r>
  </si>
  <si>
    <t xml:space="preserve">pH · pCO2</t>
  </si>
  <si>
    <t xml:space="preserve">lab_item_cd = PH / PCO2</t>
  </si>
  <si>
    <r>
      <rPr>
        <sz val="9"/>
        <rFont val="Noto Sans CJK SC"/>
        <family val="2"/>
      </rPr>
      <t xml:space="preserve">혈액가스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산</t>
    </r>
    <r>
      <rPr>
        <sz val="9"/>
        <rFont val="Arial"/>
        <family val="0"/>
        <charset val="1"/>
      </rPr>
      <t xml:space="preserve">-</t>
    </r>
    <r>
      <rPr>
        <sz val="9"/>
        <rFont val="Noto Sans CJK SC"/>
        <family val="2"/>
      </rPr>
      <t xml:space="preserve">염기 상태</t>
    </r>
  </si>
  <si>
    <t xml:space="preserve">HCO3 · BE</t>
  </si>
  <si>
    <t xml:space="preserve">lab_item_cd = HCO3 / BE</t>
  </si>
  <si>
    <r>
      <rPr>
        <sz val="9"/>
        <rFont val="Noto Sans CJK SC"/>
        <family val="2"/>
      </rPr>
      <t xml:space="preserve">중탄산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염기과잉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대사성 보상 평가</t>
    </r>
  </si>
  <si>
    <r>
      <rPr>
        <b val="true"/>
        <sz val="9"/>
        <rFont val="Noto Sans CJK SC"/>
        <family val="2"/>
      </rPr>
      <t xml:space="preserve">젖산</t>
    </r>
    <r>
      <rPr>
        <b val="true"/>
        <sz val="9"/>
        <rFont val="Arial"/>
        <family val="0"/>
        <charset val="1"/>
      </rPr>
      <t xml:space="preserve">(Lactate)</t>
    </r>
  </si>
  <si>
    <t xml:space="preserve">lab_item_cd = LAC</t>
  </si>
  <si>
    <r>
      <rPr>
        <sz val="9"/>
        <rFont val="Noto Sans CJK SC"/>
        <family val="2"/>
      </rPr>
      <t xml:space="preserve">관류 저하 지표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응급 중증도 보조</t>
    </r>
  </si>
  <si>
    <t xml:space="preserve">음이온차</t>
  </si>
  <si>
    <t xml:space="preserve">anion_gap</t>
  </si>
  <si>
    <r>
      <rPr>
        <sz val="9"/>
        <rFont val="Arial"/>
        <family val="0"/>
        <charset val="1"/>
      </rPr>
      <t xml:space="preserve">Na − (Cl + HCO3) </t>
    </r>
    <r>
      <rPr>
        <sz val="9"/>
        <rFont val="Noto Sans CJK SC"/>
        <family val="2"/>
      </rPr>
      <t xml:space="preserve">계산값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</si>
  <si>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기타 체액검사</t>
  </si>
  <si>
    <r>
      <rPr>
        <b val="true"/>
        <sz val="9"/>
        <rFont val="Noto Sans CJK SC"/>
        <family val="2"/>
      </rPr>
      <t xml:space="preserve">요검사</t>
    </r>
    <r>
      <rPr>
        <b val="true"/>
        <sz val="9"/>
        <rFont val="Arial"/>
        <family val="0"/>
        <charset val="1"/>
      </rPr>
      <t xml:space="preserve">(SG · </t>
    </r>
    <r>
      <rPr>
        <b val="true"/>
        <sz val="9"/>
        <rFont val="Noto Sans CJK SC"/>
        <family val="2"/>
      </rPr>
      <t xml:space="preserve">단백</t>
    </r>
    <r>
      <rPr>
        <b val="true"/>
        <sz val="9"/>
        <rFont val="Arial"/>
        <family val="0"/>
        <charset val="1"/>
      </rPr>
      <t xml:space="preserve">)</t>
    </r>
  </si>
  <si>
    <t xml:space="preserve">lab_item_cd = USG / UPRO</t>
  </si>
  <si>
    <r>
      <rPr>
        <sz val="9"/>
        <rFont val="Noto Sans CJK SC"/>
        <family val="2"/>
      </rPr>
      <t xml:space="preserve">요비중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요단백</t>
    </r>
  </si>
  <si>
    <t xml:space="preserve">요침사 소견</t>
  </si>
  <si>
    <t xml:space="preserve">urine_sed_note</t>
  </si>
  <si>
    <r>
      <rPr>
        <sz val="9"/>
        <rFont val="Noto Sans CJK SC"/>
        <family val="2"/>
      </rPr>
      <t xml:space="preserve">요침사 현미경 소견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표준화 필요</t>
    </r>
  </si>
  <si>
    <t xml:space="preserve">분변 기생충</t>
  </si>
  <si>
    <t xml:space="preserve">lab_item_cd = FECAL</t>
  </si>
  <si>
    <t xml:space="preserve">분변 기생충 검출 결과</t>
  </si>
  <si>
    <r>
      <rPr>
        <b val="true"/>
        <sz val="9"/>
        <rFont val="Noto Sans CJK SC"/>
        <family val="2"/>
      </rPr>
      <t xml:space="preserve">세포검사</t>
    </r>
    <r>
      <rPr>
        <b val="true"/>
        <sz val="9"/>
        <rFont val="Arial"/>
        <family val="0"/>
        <charset val="1"/>
      </rPr>
      <t xml:space="preserve">(FNA)</t>
    </r>
  </si>
  <si>
    <t xml:space="preserve">cytology_note</t>
  </si>
  <si>
    <t xml:space="preserve">세침흡인 세포검사 소견 서술</t>
  </si>
  <si>
    <r>
      <rPr>
        <b val="true"/>
        <sz val="9"/>
        <rFont val="Noto Sans CJK SC"/>
        <family val="2"/>
      </rPr>
      <t xml:space="preserve">배양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감수성</t>
    </r>
  </si>
  <si>
    <t xml:space="preserve">culture_result_json</t>
  </si>
  <si>
    <r>
      <rPr>
        <sz val="9"/>
        <rFont val="Noto Sans CJK SC"/>
        <family val="2"/>
      </rPr>
      <t xml:space="preserve">배양 균종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항생제 감수성 결과 집합</t>
    </r>
  </si>
  <si>
    <r>
      <rPr>
        <b val="true"/>
        <sz val="9"/>
        <rFont val="Arial"/>
        <family val="0"/>
        <charset val="1"/>
      </rPr>
      <t xml:space="preserve">PCR </t>
    </r>
    <r>
      <rPr>
        <b val="true"/>
        <sz val="9"/>
        <rFont val="Noto Sans CJK SC"/>
        <family val="2"/>
      </rPr>
      <t xml:space="preserve">검사</t>
    </r>
  </si>
  <si>
    <t xml:space="preserve">lab_item_cd = PCR</t>
  </si>
  <si>
    <r>
      <rPr>
        <sz val="9"/>
        <rFont val="Noto Sans CJK SC"/>
        <family val="2"/>
      </rPr>
      <t xml:space="preserve">병원체 </t>
    </r>
    <r>
      <rPr>
        <sz val="9"/>
        <rFont val="Arial"/>
        <family val="0"/>
        <charset val="1"/>
      </rPr>
      <t xml:space="preserve">PCR </t>
    </r>
    <r>
      <rPr>
        <sz val="9"/>
        <rFont val="Noto Sans CJK SC"/>
        <family val="2"/>
      </rPr>
      <t xml:space="preserve">검출 결과</t>
    </r>
  </si>
  <si>
    <t xml:space="preserve">검사 메타</t>
  </si>
  <si>
    <t xml:space="preserve">검사 일시</t>
  </si>
  <si>
    <t xml:space="preserve">lab_dt</t>
  </si>
  <si>
    <t xml:space="preserve">영상–검사 시간차 계산의 기준값</t>
  </si>
  <si>
    <t xml:space="preserve">검체 종류</t>
  </si>
  <si>
    <t xml:space="preserve">specimen_cd</t>
  </si>
  <si>
    <r>
      <rPr>
        <sz val="9"/>
        <rFont val="Arial"/>
        <family val="0"/>
        <charset val="1"/>
      </rPr>
      <t xml:space="preserve">BL </t>
    </r>
    <r>
      <rPr>
        <sz val="9"/>
        <rFont val="Noto Sans CJK SC"/>
        <family val="2"/>
      </rPr>
      <t xml:space="preserve">혈액 </t>
    </r>
    <r>
      <rPr>
        <sz val="9"/>
        <rFont val="Arial"/>
        <family val="0"/>
        <charset val="1"/>
      </rPr>
      <t xml:space="preserve">/ UR </t>
    </r>
    <r>
      <rPr>
        <sz val="9"/>
        <rFont val="Noto Sans CJK SC"/>
        <family val="2"/>
      </rPr>
      <t xml:space="preserve">뇨 </t>
    </r>
    <r>
      <rPr>
        <sz val="9"/>
        <rFont val="Arial"/>
        <family val="0"/>
        <charset val="1"/>
      </rPr>
      <t xml:space="preserve">/ FE </t>
    </r>
    <r>
      <rPr>
        <sz val="9"/>
        <rFont val="Noto Sans CJK SC"/>
        <family val="2"/>
      </rPr>
      <t xml:space="preserve">분변 </t>
    </r>
    <r>
      <rPr>
        <sz val="9"/>
        <rFont val="Arial"/>
        <family val="0"/>
        <charset val="1"/>
      </rPr>
      <t xml:space="preserve">/ CY </t>
    </r>
    <r>
      <rPr>
        <sz val="9"/>
        <rFont val="Noto Sans CJK SC"/>
        <family val="2"/>
      </rPr>
      <t xml:space="preserve">세포</t>
    </r>
  </si>
  <si>
    <r>
      <rPr>
        <b val="true"/>
        <sz val="9"/>
        <rFont val="Noto Sans CJK SC"/>
        <family val="2"/>
      </rPr>
      <t xml:space="preserve">채혈 조건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공복</t>
    </r>
    <r>
      <rPr>
        <b val="true"/>
        <sz val="9"/>
        <rFont val="Arial"/>
        <family val="0"/>
        <charset val="1"/>
      </rPr>
      <t xml:space="preserve">)</t>
    </r>
  </si>
  <si>
    <t xml:space="preserve">fasting_yn</t>
  </si>
  <si>
    <r>
      <rPr>
        <sz val="9"/>
        <rFont val="Arial"/>
        <family val="0"/>
        <charset val="1"/>
      </rPr>
      <t xml:space="preserve">Y / N / U · </t>
    </r>
    <r>
      <rPr>
        <sz val="9"/>
        <rFont val="Noto Sans CJK SC"/>
        <family val="2"/>
      </rPr>
      <t xml:space="preserve">혈당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지질 해석에 영향</t>
    </r>
  </si>
  <si>
    <t xml:space="preserve">검사 장비 모델</t>
  </si>
  <si>
    <t xml:space="preserve">lab_device_model</t>
  </si>
  <si>
    <t xml:space="preserve">장비별 참조범위 차이 보정에 사용</t>
  </si>
  <si>
    <t xml:space="preserve">외부 의뢰 여부</t>
  </si>
  <si>
    <t xml:space="preserve">external_lab_yn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</si>
  <si>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외부 의뢰는 결과 회신 지연 발생</t>
    </r>
  </si>
  <si>
    <t xml:space="preserve">검사 소요 시간</t>
  </si>
  <si>
    <t xml:space="preserve">lab_turnaround_min</t>
  </si>
  <si>
    <r>
      <rPr>
        <sz val="9"/>
        <rFont val="Noto Sans CJK SC"/>
        <family val="2"/>
      </rPr>
      <t xml:space="preserve">의뢰</t>
    </r>
    <r>
      <rPr>
        <sz val="9"/>
        <rFont val="Arial"/>
        <family val="0"/>
        <charset val="1"/>
      </rPr>
      <t xml:space="preserve">~</t>
    </r>
    <r>
      <rPr>
        <sz val="9"/>
        <rFont val="Noto Sans CJK SC"/>
        <family val="2"/>
      </rPr>
      <t xml:space="preserve">결과 회신 소요 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</si>
  <si>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판정 기준</t>
  </si>
  <si>
    <t xml:space="preserve">축종별 참조범위</t>
  </si>
  <si>
    <t xml:space="preserve">참조</t>
  </si>
  <si>
    <t xml:space="preserve">ref_low / ref_high</t>
  </si>
  <si>
    <t xml:space="preserve">DECIMAL(10,3)</t>
  </si>
  <si>
    <r>
      <rPr>
        <sz val="9"/>
        <rFont val="Noto Sans CJK SC"/>
        <family val="2"/>
      </rPr>
      <t xml:space="preserve">축종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항목별 정상 범위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참조 테이블</t>
    </r>
    <r>
      <rPr>
        <sz val="9"/>
        <rFont val="Arial"/>
        <family val="0"/>
        <charset val="1"/>
      </rPr>
      <t xml:space="preserve">)</t>
    </r>
  </si>
  <si>
    <t xml:space="preserve">품종 보정</t>
  </si>
  <si>
    <t xml:space="preserve">ref_breed_adj</t>
  </si>
  <si>
    <t xml:space="preserve">DECIMAL(5,3)</t>
  </si>
  <si>
    <r>
      <rPr>
        <sz val="9"/>
        <rFont val="Noto Sans CJK SC"/>
        <family val="2"/>
      </rPr>
      <t xml:space="preserve">품종별 보정 계수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그레이하운드 등</t>
    </r>
    <r>
      <rPr>
        <sz val="9"/>
        <rFont val="Arial"/>
        <family val="0"/>
        <charset val="1"/>
      </rPr>
      <t xml:space="preserve">)</t>
    </r>
  </si>
  <si>
    <t xml:space="preserve">연령대 보정</t>
  </si>
  <si>
    <t xml:space="preserve">ref_age_band</t>
  </si>
  <si>
    <r>
      <rPr>
        <sz val="9"/>
        <rFont val="Arial"/>
        <family val="0"/>
        <charset val="1"/>
      </rPr>
      <t xml:space="preserve">JU </t>
    </r>
    <r>
      <rPr>
        <sz val="9"/>
        <rFont val="Noto Sans CJK SC"/>
        <family val="2"/>
      </rPr>
      <t xml:space="preserve">유년 </t>
    </r>
    <r>
      <rPr>
        <sz val="9"/>
        <rFont val="Arial"/>
        <family val="0"/>
        <charset val="1"/>
      </rPr>
      <t xml:space="preserve">/ AD </t>
    </r>
    <r>
      <rPr>
        <sz val="9"/>
        <rFont val="Noto Sans CJK SC"/>
        <family val="2"/>
      </rPr>
      <t xml:space="preserve">성년 </t>
    </r>
    <r>
      <rPr>
        <sz val="9"/>
        <rFont val="Arial"/>
        <family val="0"/>
        <charset val="1"/>
      </rPr>
      <t xml:space="preserve">/ SE </t>
    </r>
    <r>
      <rPr>
        <sz val="9"/>
        <rFont val="Noto Sans CJK SC"/>
        <family val="2"/>
      </rPr>
      <t xml:space="preserve">노령</t>
    </r>
  </si>
  <si>
    <r>
      <rPr>
        <b val="true"/>
        <sz val="9"/>
        <rFont val="Noto Sans CJK SC"/>
        <family val="2"/>
      </rPr>
      <t xml:space="preserve">정상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이상 플래그</t>
    </r>
  </si>
  <si>
    <t xml:space="preserve">lab_abnormal_yn</t>
  </si>
  <si>
    <r>
      <rPr>
        <sz val="9"/>
        <rFont val="Noto Sans CJK SC"/>
        <family val="2"/>
      </rPr>
      <t xml:space="preserve">참조범위 대비 </t>
    </r>
    <r>
      <rPr>
        <sz val="9"/>
        <rFont val="Arial"/>
        <family val="0"/>
        <charset val="1"/>
      </rPr>
      <t xml:space="preserve">Y / N 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</si>
  <si>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위험 임계값</t>
  </si>
  <si>
    <t xml:space="preserve">ref_critical_value</t>
  </si>
  <si>
    <r>
      <rPr>
        <sz val="9"/>
        <rFont val="Noto Sans CJK SC"/>
        <family val="2"/>
      </rPr>
      <t xml:space="preserve">즉시 알림이 필요한 임계값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패닉값</t>
    </r>
    <r>
      <rPr>
        <sz val="9"/>
        <rFont val="Arial"/>
        <family val="0"/>
        <charset val="1"/>
      </rPr>
      <t xml:space="preserve">)</t>
    </r>
  </si>
  <si>
    <t xml:space="preserve">단위 표기 체계</t>
  </si>
  <si>
    <t xml:space="preserve">장비사별 단위 상이 — 표준 단위 변환 규칙서로 관리</t>
  </si>
  <si>
    <r>
      <rPr>
        <sz val="9"/>
        <rFont val="Noto Sans CJK SC"/>
        <family val="2"/>
      </rPr>
      <t xml:space="preserve">품질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연동</t>
    </r>
  </si>
  <si>
    <r>
      <rPr>
        <b val="true"/>
        <sz val="9"/>
        <rFont val="Noto Sans CJK SC"/>
        <family val="2"/>
      </rPr>
      <t xml:space="preserve">용혈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지질혈</t>
    </r>
  </si>
  <si>
    <t xml:space="preserve">hemolysis_cd</t>
  </si>
  <si>
    <r>
      <rPr>
        <sz val="9"/>
        <rFont val="Arial"/>
        <family val="0"/>
        <charset val="1"/>
      </rPr>
      <t xml:space="preserve">N </t>
    </r>
    <r>
      <rPr>
        <sz val="9"/>
        <rFont val="Noto Sans CJK SC"/>
        <family val="2"/>
      </rPr>
      <t xml:space="preserve">없음 </t>
    </r>
    <r>
      <rPr>
        <sz val="9"/>
        <rFont val="Arial"/>
        <family val="0"/>
        <charset val="1"/>
      </rPr>
      <t xml:space="preserve">/ H </t>
    </r>
    <r>
      <rPr>
        <sz val="9"/>
        <rFont val="Noto Sans CJK SC"/>
        <family val="2"/>
      </rPr>
      <t xml:space="preserve">용혈 </t>
    </r>
    <r>
      <rPr>
        <sz val="9"/>
        <rFont val="Arial"/>
        <family val="0"/>
        <charset val="1"/>
      </rPr>
      <t xml:space="preserve">/ L </t>
    </r>
    <r>
      <rPr>
        <sz val="9"/>
        <rFont val="Noto Sans CJK SC"/>
        <family val="2"/>
      </rPr>
      <t xml:space="preserve">지질혈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수치 신뢰도 보정</t>
    </r>
  </si>
  <si>
    <t xml:space="preserve">재검 여부</t>
  </si>
  <si>
    <t xml:space="preserve">retest_yn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</si>
  <si>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재검 시 최종값만 사용</t>
    </r>
  </si>
  <si>
    <t xml:space="preserve">결측 항목 비율</t>
  </si>
  <si>
    <t xml:space="preserve">lab_missing_rate</t>
  </si>
  <si>
    <t xml:space="preserve">DECIMAL(4,3)</t>
  </si>
  <si>
    <r>
      <rPr>
        <sz val="9"/>
        <rFont val="Noto Sans CJK SC"/>
        <family val="2"/>
      </rPr>
      <t xml:space="preserve">의뢰 항목 대비 결측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</si>
  <si>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LIS </t>
    </r>
    <r>
      <rPr>
        <b val="true"/>
        <sz val="9"/>
        <rFont val="Noto Sans CJK SC"/>
        <family val="2"/>
      </rPr>
      <t xml:space="preserve">연동 방식</t>
    </r>
  </si>
  <si>
    <r>
      <rPr>
        <sz val="9"/>
        <rFont val="Noto Sans CJK SC"/>
        <family val="2"/>
      </rPr>
      <t xml:space="preserve">병원별 </t>
    </r>
    <r>
      <rPr>
        <sz val="9"/>
        <rFont val="Arial"/>
        <family val="0"/>
        <charset val="1"/>
      </rPr>
      <t xml:space="preserve">LIS </t>
    </r>
    <r>
      <rPr>
        <sz val="9"/>
        <rFont val="Noto Sans CJK SC"/>
        <family val="2"/>
      </rPr>
      <t xml:space="preserve">연동 규격 — 연동 설계서로 관리</t>
    </r>
  </si>
  <si>
    <t xml:space="preserve">항목 코드 표준화</t>
  </si>
  <si>
    <t xml:space="preserve">장비사 코드 → 표준 항목코드 매핑 테이블로 관리</t>
  </si>
  <si>
    <t xml:space="preserve">이상치 검출 규칙</t>
  </si>
  <si>
    <t xml:space="preserve">물리적 불가능값 차단 규칙 — 품질 규칙서로 관리</t>
  </si>
  <si>
    <t xml:space="preserve">③</t>
  </si>
  <si>
    <r>
      <rPr>
        <sz val="9"/>
        <rFont val="Noto Sans CJK SC"/>
        <family val="2"/>
      </rPr>
      <t xml:space="preserve">처방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투약</t>
    </r>
  </si>
  <si>
    <t xml:space="preserve">처방 기본</t>
  </si>
  <si>
    <r>
      <rPr>
        <b val="true"/>
        <sz val="9"/>
        <rFont val="Noto Sans CJK SC"/>
        <family val="2"/>
      </rPr>
      <t xml:space="preserve">처방 </t>
    </r>
    <r>
      <rPr>
        <b val="true"/>
        <sz val="9"/>
        <rFont val="Arial"/>
        <family val="0"/>
        <charset val="1"/>
      </rPr>
      <t xml:space="preserve">ID</t>
    </r>
  </si>
  <si>
    <t xml:space="preserve">rx_id</t>
  </si>
  <si>
    <r>
      <rPr>
        <sz val="9"/>
        <rFont val="Noto Sans CJK SC"/>
        <family val="2"/>
      </rPr>
      <t xml:space="preserve">처방 건의 고유키 </t>
    </r>
    <r>
      <rPr>
        <sz val="9"/>
        <rFont val="Arial"/>
        <family val="0"/>
        <charset val="1"/>
      </rPr>
      <t xml:space="preserve">(PK)</t>
    </r>
  </si>
  <si>
    <t xml:space="preserve">처방 일시</t>
  </si>
  <si>
    <t xml:space="preserve">rx_dt</t>
  </si>
  <si>
    <r>
      <rPr>
        <sz val="9"/>
        <rFont val="Noto Sans CJK SC"/>
        <family val="2"/>
      </rPr>
      <t xml:space="preserve">영상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검사와의 시점 정합에 사용</t>
    </r>
  </si>
  <si>
    <t xml:space="preserve">처방 수의사</t>
  </si>
  <si>
    <t xml:space="preserve">rx_vet_id</t>
  </si>
  <si>
    <r>
      <rPr>
        <sz val="9"/>
        <rFont val="Noto Sans CJK SC"/>
        <family val="2"/>
      </rPr>
      <t xml:space="preserve">처방자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판독 승인자와 동일인 여부 확인</t>
    </r>
  </si>
  <si>
    <t xml:space="preserve">진단명 연계</t>
  </si>
  <si>
    <t xml:space="preserve">rx_diagnosis_cd</t>
  </si>
  <si>
    <t xml:space="preserve">처방의 근거 진단명 표준 코드</t>
  </si>
  <si>
    <r>
      <rPr>
        <b val="true"/>
        <sz val="9"/>
        <rFont val="Noto Sans CJK SC"/>
        <family val="2"/>
      </rPr>
      <t xml:space="preserve">원내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원외 구분</t>
    </r>
  </si>
  <si>
    <t xml:space="preserve">rx_place_cd</t>
  </si>
  <si>
    <r>
      <rPr>
        <sz val="9"/>
        <rFont val="Arial"/>
        <family val="0"/>
        <charset val="1"/>
      </rPr>
      <t xml:space="preserve">IN </t>
    </r>
    <r>
      <rPr>
        <sz val="9"/>
        <rFont val="Noto Sans CJK SC"/>
        <family val="2"/>
      </rPr>
      <t xml:space="preserve">원내조제 </t>
    </r>
    <r>
      <rPr>
        <sz val="9"/>
        <rFont val="Arial"/>
        <family val="0"/>
        <charset val="1"/>
      </rPr>
      <t xml:space="preserve">/ OU </t>
    </r>
    <r>
      <rPr>
        <sz val="9"/>
        <rFont val="Noto Sans CJK SC"/>
        <family val="2"/>
      </rPr>
      <t xml:space="preserve">원외처방</t>
    </r>
  </si>
  <si>
    <t xml:space="preserve">처방 상태</t>
  </si>
  <si>
    <t xml:space="preserve">rx_status_cd</t>
  </si>
  <si>
    <r>
      <rPr>
        <sz val="9"/>
        <rFont val="Arial"/>
        <family val="0"/>
        <charset val="1"/>
      </rPr>
      <t xml:space="preserve">01 </t>
    </r>
    <r>
      <rPr>
        <sz val="9"/>
        <rFont val="Noto Sans CJK SC"/>
        <family val="2"/>
      </rPr>
      <t xml:space="preserve">발행 </t>
    </r>
    <r>
      <rPr>
        <sz val="9"/>
        <rFont val="Arial"/>
        <family val="0"/>
        <charset val="1"/>
      </rPr>
      <t xml:space="preserve">/ 02 </t>
    </r>
    <r>
      <rPr>
        <sz val="9"/>
        <rFont val="Noto Sans CJK SC"/>
        <family val="2"/>
      </rPr>
      <t xml:space="preserve">조제 </t>
    </r>
    <r>
      <rPr>
        <sz val="9"/>
        <rFont val="Arial"/>
        <family val="0"/>
        <charset val="1"/>
      </rPr>
      <t xml:space="preserve">/ 03 </t>
    </r>
    <r>
      <rPr>
        <sz val="9"/>
        <rFont val="Noto Sans CJK SC"/>
        <family val="2"/>
      </rPr>
      <t xml:space="preserve">취소</t>
    </r>
  </si>
  <si>
    <t xml:space="preserve">약물 정보</t>
  </si>
  <si>
    <t xml:space="preserve">성분명</t>
  </si>
  <si>
    <t xml:space="preserve">drug_ingredient</t>
  </si>
  <si>
    <t xml:space="preserve">VARCHAR(100)</t>
  </si>
  <si>
    <t xml:space="preserve">제품명이 아닌 성분명으로 표준화하여 저장</t>
  </si>
  <si>
    <r>
      <rPr>
        <b val="true"/>
        <sz val="9"/>
        <rFont val="Noto Sans CJK SC"/>
        <family val="2"/>
      </rPr>
      <t xml:space="preserve">제품명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제조사</t>
    </r>
  </si>
  <si>
    <t xml:space="preserve">drug_product_nm</t>
  </si>
  <si>
    <r>
      <rPr>
        <sz val="9"/>
        <rFont val="Noto Sans CJK SC"/>
        <family val="2"/>
      </rPr>
      <t xml:space="preserve">원내 입력 원문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성분명 매핑의 입력값</t>
    </r>
  </si>
  <si>
    <r>
      <rPr>
        <b val="true"/>
        <sz val="9"/>
        <rFont val="Noto Sans CJK SC"/>
        <family val="2"/>
      </rPr>
      <t xml:space="preserve">약효 분류</t>
    </r>
    <r>
      <rPr>
        <b val="true"/>
        <sz val="9"/>
        <rFont val="Arial"/>
        <family val="0"/>
        <charset val="1"/>
      </rPr>
      <t xml:space="preserve">(ATCvet)</t>
    </r>
  </si>
  <si>
    <t xml:space="preserve">atcvet_cd</t>
  </si>
  <si>
    <r>
      <rPr>
        <sz val="9"/>
        <rFont val="Arial"/>
        <family val="0"/>
        <charset val="1"/>
      </rPr>
      <t xml:space="preserve">ATCvet </t>
    </r>
    <r>
      <rPr>
        <sz val="9"/>
        <rFont val="Noto Sans CJK SC"/>
        <family val="2"/>
      </rPr>
      <t xml:space="preserve">기준 약효 분류 코드</t>
    </r>
  </si>
  <si>
    <t xml:space="preserve">제형</t>
  </si>
  <si>
    <t xml:space="preserve">dosage_form_cd</t>
  </si>
  <si>
    <r>
      <rPr>
        <sz val="9"/>
        <rFont val="Arial"/>
        <family val="0"/>
        <charset val="1"/>
      </rPr>
      <t xml:space="preserve">TB </t>
    </r>
    <r>
      <rPr>
        <sz val="9"/>
        <rFont val="Noto Sans CJK SC"/>
        <family val="2"/>
      </rPr>
      <t xml:space="preserve">정 </t>
    </r>
    <r>
      <rPr>
        <sz val="9"/>
        <rFont val="Arial"/>
        <family val="0"/>
        <charset val="1"/>
      </rPr>
      <t xml:space="preserve">/ CP </t>
    </r>
    <r>
      <rPr>
        <sz val="9"/>
        <rFont val="Noto Sans CJK SC"/>
        <family val="2"/>
      </rPr>
      <t xml:space="preserve">캡슐 </t>
    </r>
    <r>
      <rPr>
        <sz val="9"/>
        <rFont val="Arial"/>
        <family val="0"/>
        <charset val="1"/>
      </rPr>
      <t xml:space="preserve">/ IJ </t>
    </r>
    <r>
      <rPr>
        <sz val="9"/>
        <rFont val="Noto Sans CJK SC"/>
        <family val="2"/>
      </rPr>
      <t xml:space="preserve">주사 </t>
    </r>
    <r>
      <rPr>
        <sz val="9"/>
        <rFont val="Arial"/>
        <family val="0"/>
        <charset val="1"/>
      </rPr>
      <t xml:space="preserve">/ SY </t>
    </r>
    <r>
      <rPr>
        <sz val="9"/>
        <rFont val="Noto Sans CJK SC"/>
        <family val="2"/>
      </rPr>
      <t xml:space="preserve">시럽</t>
    </r>
  </si>
  <si>
    <r>
      <rPr>
        <b val="true"/>
        <sz val="9"/>
        <rFont val="Noto Sans CJK SC"/>
        <family val="2"/>
      </rPr>
      <t xml:space="preserve">규격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함량</t>
    </r>
  </si>
  <si>
    <t xml:space="preserve">drug_strength</t>
  </si>
  <si>
    <r>
      <rPr>
        <sz val="9"/>
        <rFont val="Noto Sans CJK SC"/>
        <family val="2"/>
      </rPr>
      <t xml:space="preserve">단위 함량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예 </t>
    </r>
    <r>
      <rPr>
        <sz val="9"/>
        <rFont val="Arial"/>
        <family val="0"/>
        <charset val="1"/>
      </rPr>
      <t xml:space="preserve">50mg/tab)</t>
    </r>
  </si>
  <si>
    <r>
      <rPr>
        <b val="true"/>
        <sz val="9"/>
        <rFont val="Noto Sans CJK SC"/>
        <family val="2"/>
      </rPr>
      <t xml:space="preserve">동물용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인체용</t>
    </r>
  </si>
  <si>
    <t xml:space="preserve">drug_species_use_cd</t>
  </si>
  <si>
    <r>
      <rPr>
        <sz val="9"/>
        <rFont val="Arial"/>
        <family val="0"/>
        <charset val="1"/>
      </rPr>
      <t xml:space="preserve">A </t>
    </r>
    <r>
      <rPr>
        <sz val="9"/>
        <rFont val="Noto Sans CJK SC"/>
        <family val="2"/>
      </rPr>
      <t xml:space="preserve">동물용 </t>
    </r>
    <r>
      <rPr>
        <sz val="9"/>
        <rFont val="Arial"/>
        <family val="0"/>
        <charset val="1"/>
      </rPr>
      <t xml:space="preserve">/ H </t>
    </r>
    <r>
      <rPr>
        <sz val="9"/>
        <rFont val="Noto Sans CJK SC"/>
        <family val="2"/>
      </rPr>
      <t xml:space="preserve">인체용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오프라벨 판별</t>
    </r>
  </si>
  <si>
    <r>
      <rPr>
        <sz val="9"/>
        <rFont val="Noto Sans CJK SC"/>
        <family val="2"/>
      </rPr>
      <t xml:space="preserve">용법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용량</t>
    </r>
  </si>
  <si>
    <r>
      <rPr>
        <b val="true"/>
        <sz val="9"/>
        <rFont val="Arial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회 용량</t>
    </r>
    <r>
      <rPr>
        <b val="true"/>
        <sz val="9"/>
        <rFont val="Arial"/>
        <family val="0"/>
        <charset val="1"/>
      </rPr>
      <t xml:space="preserve">(mg/kg)</t>
    </r>
  </si>
  <si>
    <t xml:space="preserve">dose_mg_per_kg</t>
  </si>
  <si>
    <t xml:space="preserve">DECIMAL(8,3)</t>
  </si>
  <si>
    <r>
      <rPr>
        <sz val="9"/>
        <rFont val="Noto Sans CJK SC"/>
        <family val="2"/>
      </rPr>
      <t xml:space="preserve">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저용량 판정 및 안전성 필터링 기준</t>
    </r>
  </si>
  <si>
    <t xml:space="preserve">투여 경로</t>
  </si>
  <si>
    <t xml:space="preserve">route_cd</t>
  </si>
  <si>
    <t xml:space="preserve">PO / IV / IM / SC / TOP</t>
  </si>
  <si>
    <t xml:space="preserve">투여 횟수</t>
  </si>
  <si>
    <t xml:space="preserve">freq_per_day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</si>
  <si>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일 투여 횟수</t>
    </r>
  </si>
  <si>
    <t xml:space="preserve">투여 기간</t>
  </si>
  <si>
    <t xml:space="preserve">duration_days</t>
  </si>
  <si>
    <t xml:space="preserve">총 투여 일수</t>
  </si>
  <si>
    <t xml:space="preserve">체중 기준 환산</t>
  </si>
  <si>
    <t xml:space="preserve">dose_total_mg</t>
  </si>
  <si>
    <r>
      <rPr>
        <sz val="9"/>
        <rFont val="Arial"/>
        <family val="0"/>
        <charset val="1"/>
      </rPr>
      <t xml:space="preserve">dose_mg_per_kg × body_weight_kg 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</si>
  <si>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용량 조정 이력</t>
  </si>
  <si>
    <t xml:space="preserve">dose_change_json</t>
  </si>
  <si>
    <r>
      <rPr>
        <sz val="9"/>
        <rFont val="Noto Sans CJK SC"/>
        <family val="2"/>
      </rPr>
      <t xml:space="preserve">변경 일시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전후 용량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사유 배열</t>
    </r>
  </si>
  <si>
    <t xml:space="preserve">투약 안전성</t>
  </si>
  <si>
    <t xml:space="preserve">병용 금기</t>
  </si>
  <si>
    <t xml:space="preserve">ddi_flag</t>
  </si>
  <si>
    <r>
      <rPr>
        <sz val="9"/>
        <rFont val="Noto Sans CJK SC"/>
        <family val="2"/>
      </rPr>
      <t xml:space="preserve">동시 처방 간 상호작용 검출 결과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</si>
  <si>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축종 금기</t>
  </si>
  <si>
    <t xml:space="preserve">species_contraind_flag</t>
  </si>
  <si>
    <r>
      <rPr>
        <sz val="9"/>
        <rFont val="Noto Sans CJK SC"/>
        <family val="2"/>
      </rPr>
      <t xml:space="preserve">축종별 금기 성분 저촉 여부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</si>
  <si>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알레르기 이력</t>
  </si>
  <si>
    <t xml:space="preserve">allergy_conflict_yn</t>
  </si>
  <si>
    <r>
      <rPr>
        <sz val="9"/>
        <rFont val="Noto Sans CJK SC"/>
        <family val="2"/>
      </rPr>
      <t xml:space="preserve">개체 알레르기와 처방 성분 충돌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</si>
  <si>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부작용 보고</t>
  </si>
  <si>
    <t xml:space="preserve">adverse_event_cd</t>
  </si>
  <si>
    <r>
      <rPr>
        <sz val="9"/>
        <rFont val="Noto Sans CJK SC"/>
        <family val="2"/>
      </rPr>
      <t xml:space="preserve">보고된 이상반응 코드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미보고는 </t>
    </r>
    <r>
      <rPr>
        <sz val="9"/>
        <rFont val="Arial"/>
        <family val="0"/>
        <charset val="1"/>
      </rPr>
      <t xml:space="preserve">NULL</t>
    </r>
  </si>
  <si>
    <r>
      <rPr>
        <b val="true"/>
        <sz val="9"/>
        <rFont val="Noto Sans CJK SC"/>
        <family val="2"/>
      </rPr>
      <t xml:space="preserve">신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간기능 보정</t>
    </r>
  </si>
  <si>
    <t xml:space="preserve">organ_adjust_flag</t>
  </si>
  <si>
    <r>
      <rPr>
        <sz val="9"/>
        <rFont val="Arial"/>
        <family val="0"/>
        <charset val="1"/>
      </rPr>
      <t xml:space="preserve">CREA·ALT </t>
    </r>
    <r>
      <rPr>
        <sz val="9"/>
        <rFont val="Noto Sans CJK SC"/>
        <family val="2"/>
      </rPr>
      <t xml:space="preserve">이상 시 감량 권고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</si>
  <si>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임신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수유 여부</t>
    </r>
  </si>
  <si>
    <t xml:space="preserve">pregnancy_cd</t>
  </si>
  <si>
    <r>
      <rPr>
        <sz val="9"/>
        <rFont val="Arial"/>
        <family val="0"/>
        <charset val="1"/>
      </rPr>
      <t xml:space="preserve">N / P </t>
    </r>
    <r>
      <rPr>
        <sz val="9"/>
        <rFont val="Noto Sans CJK SC"/>
        <family val="2"/>
      </rPr>
      <t xml:space="preserve">임신 </t>
    </r>
    <r>
      <rPr>
        <sz val="9"/>
        <rFont val="Arial"/>
        <family val="0"/>
        <charset val="1"/>
      </rPr>
      <t xml:space="preserve">/ L </t>
    </r>
    <r>
      <rPr>
        <sz val="9"/>
        <rFont val="Noto Sans CJK SC"/>
        <family val="2"/>
      </rPr>
      <t xml:space="preserve">수유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금기 판정 입력값</t>
    </r>
  </si>
  <si>
    <t xml:space="preserve">투약 실행</t>
  </si>
  <si>
    <t xml:space="preserve">실제 투약 일시</t>
  </si>
  <si>
    <t xml:space="preserve">admin_dt</t>
  </si>
  <si>
    <t xml:space="preserve">원내 실제 투약 시각</t>
  </si>
  <si>
    <r>
      <rPr>
        <b val="true"/>
        <sz val="9"/>
        <rFont val="Noto Sans CJK SC"/>
        <family val="2"/>
      </rPr>
      <t xml:space="preserve">투약자 </t>
    </r>
    <r>
      <rPr>
        <b val="true"/>
        <sz val="9"/>
        <rFont val="Arial"/>
        <family val="0"/>
        <charset val="1"/>
      </rPr>
      <t xml:space="preserve">ID</t>
    </r>
  </si>
  <si>
    <t xml:space="preserve">admin_staff_id</t>
  </si>
  <si>
    <t xml:space="preserve">투약 수행자 식별</t>
  </si>
  <si>
    <t xml:space="preserve">잔여 처방일수</t>
  </si>
  <si>
    <t xml:space="preserve">rx_remain_days</t>
  </si>
  <si>
    <r>
      <rPr>
        <sz val="9"/>
        <rFont val="Noto Sans CJK SC"/>
        <family val="2"/>
      </rPr>
      <t xml:space="preserve">처방 기간 대비 잔여 일수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</si>
  <si>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리필 여부</t>
  </si>
  <si>
    <t xml:space="preserve">refill_yn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</si>
  <si>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재처방 발생 여부</t>
    </r>
  </si>
  <si>
    <t xml:space="preserve">복약 순응도</t>
  </si>
  <si>
    <t xml:space="preserve">adherence_rate</t>
  </si>
  <si>
    <r>
      <rPr>
        <sz val="9"/>
        <rFont val="Noto Sans CJK SC"/>
        <family val="2"/>
      </rPr>
      <t xml:space="preserve">보호자 이행 기록 기반 </t>
    </r>
    <r>
      <rPr>
        <sz val="9"/>
        <rFont val="Arial"/>
        <family val="0"/>
        <charset val="1"/>
      </rPr>
      <t xml:space="preserve">0.000~1.000 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</si>
  <si>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중단 사유</t>
  </si>
  <si>
    <t xml:space="preserve">stop_reason_cd</t>
  </si>
  <si>
    <r>
      <rPr>
        <sz val="9"/>
        <rFont val="Noto Sans CJK SC"/>
        <family val="2"/>
      </rPr>
      <t xml:space="preserve">부작용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호전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비용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보호자 거부</t>
    </r>
  </si>
  <si>
    <r>
      <rPr>
        <sz val="9"/>
        <rFont val="Noto Sans CJK SC"/>
        <family val="2"/>
      </rPr>
      <t xml:space="preserve">처치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시술</t>
    </r>
  </si>
  <si>
    <t xml:space="preserve">처치 코드</t>
  </si>
  <si>
    <t xml:space="preserve">proc_cd</t>
  </si>
  <si>
    <r>
      <rPr>
        <sz val="9"/>
        <rFont val="Noto Sans CJK SC"/>
        <family val="2"/>
      </rPr>
      <t xml:space="preserve">권장표준 진료행위 코드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표준화 필요</t>
    </r>
  </si>
  <si>
    <t xml:space="preserve">수술 이력</t>
  </si>
  <si>
    <t xml:space="preserve">surgery_hist_json</t>
  </si>
  <si>
    <r>
      <rPr>
        <sz val="9"/>
        <rFont val="Noto Sans CJK SC"/>
        <family val="2"/>
      </rPr>
      <t xml:space="preserve">수술명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일자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집도의 배열</t>
    </r>
  </si>
  <si>
    <t xml:space="preserve">마취 기록</t>
  </si>
  <si>
    <t xml:space="preserve">anesth_record_json</t>
  </si>
  <si>
    <r>
      <rPr>
        <sz val="9"/>
        <rFont val="Noto Sans CJK SC"/>
        <family val="2"/>
      </rPr>
      <t xml:space="preserve">마취제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용량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시간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활력징후 기록</t>
    </r>
  </si>
  <si>
    <t xml:space="preserve">수액 요법</t>
  </si>
  <si>
    <t xml:space="preserve">fluid_therapy_json</t>
  </si>
  <si>
    <r>
      <rPr>
        <sz val="9"/>
        <rFont val="Noto Sans CJK SC"/>
        <family val="2"/>
      </rPr>
      <t xml:space="preserve">수액 종류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속도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총량</t>
    </r>
  </si>
  <si>
    <t xml:space="preserve">주사 처치</t>
  </si>
  <si>
    <t xml:space="preserve">injection_cd</t>
  </si>
  <si>
    <t xml:space="preserve">주사 처치 코드</t>
  </si>
  <si>
    <t xml:space="preserve">처치 소요 시간</t>
  </si>
  <si>
    <t xml:space="preserve">proc_duration_min</t>
  </si>
  <si>
    <r>
      <rPr>
        <sz val="9"/>
        <rFont val="Noto Sans CJK SC"/>
        <family val="2"/>
      </rPr>
      <t xml:space="preserve">처치 시작</t>
    </r>
    <r>
      <rPr>
        <sz val="9"/>
        <rFont val="Arial"/>
        <family val="0"/>
        <charset val="1"/>
      </rPr>
      <t xml:space="preserve">~</t>
    </r>
    <r>
      <rPr>
        <sz val="9"/>
        <rFont val="Noto Sans CJK SC"/>
        <family val="2"/>
      </rPr>
      <t xml:space="preserve">종료 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</si>
  <si>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수납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비용</t>
    </r>
  </si>
  <si>
    <t xml:space="preserve">항목별 수가</t>
  </si>
  <si>
    <t xml:space="preserve">charge_item_amt</t>
  </si>
  <si>
    <t xml:space="preserve">INT</t>
  </si>
  <si>
    <r>
      <rPr>
        <sz val="9"/>
        <rFont val="Noto Sans CJK SC"/>
        <family val="2"/>
      </rPr>
      <t xml:space="preserve">진료 항목별 청구액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</si>
  <si>
    <t xml:space="preserve">총 진료비</t>
  </si>
  <si>
    <t xml:space="preserve">charge_total_amt</t>
  </si>
  <si>
    <r>
      <rPr>
        <sz val="9"/>
        <rFont val="Noto Sans CJK SC"/>
        <family val="2"/>
      </rPr>
      <t xml:space="preserve">항목별 수가 합계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</si>
  <si>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결제 수단</t>
  </si>
  <si>
    <t xml:space="preserve">payment_method_cd</t>
  </si>
  <si>
    <r>
      <rPr>
        <sz val="9"/>
        <rFont val="Arial"/>
        <family val="0"/>
        <charset val="1"/>
      </rPr>
      <t xml:space="preserve">CA </t>
    </r>
    <r>
      <rPr>
        <sz val="9"/>
        <rFont val="Noto Sans CJK SC"/>
        <family val="2"/>
      </rPr>
      <t xml:space="preserve">현금 </t>
    </r>
    <r>
      <rPr>
        <sz val="9"/>
        <rFont val="Arial"/>
        <family val="0"/>
        <charset val="1"/>
      </rPr>
      <t xml:space="preserve">/ CC </t>
    </r>
    <r>
      <rPr>
        <sz val="9"/>
        <rFont val="Noto Sans CJK SC"/>
        <family val="2"/>
      </rPr>
      <t xml:space="preserve">카드 </t>
    </r>
    <r>
      <rPr>
        <sz val="9"/>
        <rFont val="Arial"/>
        <family val="0"/>
        <charset val="1"/>
      </rPr>
      <t xml:space="preserve">/ TR </t>
    </r>
    <r>
      <rPr>
        <sz val="9"/>
        <rFont val="Noto Sans CJK SC"/>
        <family val="2"/>
      </rPr>
      <t xml:space="preserve">이체</t>
    </r>
  </si>
  <si>
    <r>
      <rPr>
        <b val="true"/>
        <sz val="9"/>
        <rFont val="Noto Sans CJK SC"/>
        <family val="2"/>
      </rPr>
      <t xml:space="preserve">할인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패키지</t>
    </r>
  </si>
  <si>
    <t xml:space="preserve">discount_amt</t>
  </si>
  <si>
    <r>
      <rPr>
        <sz val="9"/>
        <rFont val="Noto Sans CJK SC"/>
        <family val="2"/>
      </rPr>
      <t xml:space="preserve">할인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패키지 적용 금액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</si>
  <si>
    <t xml:space="preserve">펫보험 청구</t>
  </si>
  <si>
    <t xml:space="preserve">insurance_claim_yn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</si>
  <si>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보험 청구 연동 대상</t>
    </r>
  </si>
  <si>
    <t xml:space="preserve">미수금 여부</t>
  </si>
  <si>
    <t xml:space="preserve">unpaid_yn</t>
  </si>
  <si>
    <t xml:space="preserve">Y / N</t>
  </si>
  <si>
    <r>
      <rPr>
        <sz val="9"/>
        <rFont val="Noto Sans CJK SC"/>
        <family val="2"/>
      </rPr>
      <t xml:space="preserve">연동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품질</t>
    </r>
  </si>
  <si>
    <r>
      <rPr>
        <b val="true"/>
        <sz val="9"/>
        <rFont val="Arial"/>
        <family val="0"/>
        <charset val="1"/>
      </rPr>
      <t xml:space="preserve">EMR </t>
    </r>
    <r>
      <rPr>
        <b val="true"/>
        <sz val="9"/>
        <rFont val="Noto Sans CJK SC"/>
        <family val="2"/>
      </rPr>
      <t xml:space="preserve">연동 방식</t>
    </r>
  </si>
  <si>
    <r>
      <rPr>
        <sz val="9"/>
        <rFont val="Noto Sans CJK SC"/>
        <family val="2"/>
      </rPr>
      <t xml:space="preserve">병원 </t>
    </r>
    <r>
      <rPr>
        <sz val="9"/>
        <rFont val="Arial"/>
        <family val="0"/>
        <charset val="1"/>
      </rPr>
      <t xml:space="preserve">EMR</t>
    </r>
    <r>
      <rPr>
        <sz val="9"/>
        <rFont val="Noto Sans CJK SC"/>
        <family val="2"/>
      </rPr>
      <t xml:space="preserve">별 연동 규격 — 연동 설계서로 관리</t>
    </r>
  </si>
  <si>
    <t xml:space="preserve">약물 마스터 표준</t>
  </si>
  <si>
    <t xml:space="preserve">drug_master_cd</t>
  </si>
  <si>
    <r>
      <rPr>
        <sz val="9"/>
        <rFont val="Noto Sans CJK SC"/>
        <family val="2"/>
      </rPr>
      <t xml:space="preserve">동물용의약품 표준 코드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참조 테이블</t>
    </r>
    <r>
      <rPr>
        <sz val="9"/>
        <rFont val="Arial"/>
        <family val="0"/>
        <charset val="1"/>
      </rPr>
      <t xml:space="preserve">)</t>
    </r>
  </si>
  <si>
    <t xml:space="preserve">자유입력 비율</t>
  </si>
  <si>
    <t xml:space="preserve">rx_freetext_rate</t>
  </si>
  <si>
    <r>
      <rPr>
        <sz val="9"/>
        <rFont val="Noto Sans CJK SC"/>
        <family val="2"/>
      </rPr>
      <t xml:space="preserve">처방 중 비표준 자유입력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</si>
  <si>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오탈자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약어</t>
    </r>
  </si>
  <si>
    <t xml:space="preserve">rx_typo_flag</t>
  </si>
  <si>
    <r>
      <rPr>
        <sz val="9"/>
        <rFont val="Noto Sans CJK SC"/>
        <family val="2"/>
      </rPr>
      <t xml:space="preserve">약물명 표준 매핑 실패 플래그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</si>
  <si>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단위 불일치</t>
  </si>
  <si>
    <t xml:space="preserve">unit_mismatch_flag</t>
  </si>
  <si>
    <r>
      <rPr>
        <sz val="9"/>
        <rFont val="Noto Sans CJK SC"/>
        <family val="2"/>
      </rPr>
      <t xml:space="preserve">용량 단위 표준 불일치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</si>
  <si>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중복 처방 검출</t>
  </si>
  <si>
    <t xml:space="preserve">dup_rx_flag</t>
  </si>
  <si>
    <r>
      <rPr>
        <sz val="9"/>
        <rFont val="Noto Sans CJK SC"/>
        <family val="2"/>
      </rPr>
      <t xml:space="preserve">동일 성분 중복 처방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</si>
  <si>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④</t>
  </si>
  <si>
    <r>
      <rPr>
        <sz val="9"/>
        <rFont val="Noto Sans CJK SC"/>
        <family val="2"/>
      </rPr>
      <t xml:space="preserve">응급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입원</t>
    </r>
  </si>
  <si>
    <r>
      <rPr>
        <sz val="9"/>
        <rFont val="Noto Sans CJK SC"/>
        <family val="2"/>
      </rPr>
      <t xml:space="preserve">내원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접수</t>
    </r>
  </si>
  <si>
    <t xml:space="preserve">내원 일시</t>
  </si>
  <si>
    <t xml:space="preserve">visit_dt</t>
  </si>
  <si>
    <t xml:space="preserve">응급 내원 접수 시각</t>
  </si>
  <si>
    <t xml:space="preserve">내원 경위</t>
  </si>
  <si>
    <t xml:space="preserve">visit_route_cd</t>
  </si>
  <si>
    <r>
      <rPr>
        <sz val="9"/>
        <rFont val="Arial"/>
        <family val="0"/>
        <charset val="1"/>
      </rPr>
      <t xml:space="preserve">WI </t>
    </r>
    <r>
      <rPr>
        <sz val="9"/>
        <rFont val="Noto Sans CJK SC"/>
        <family val="2"/>
      </rPr>
      <t xml:space="preserve">직접내원 </t>
    </r>
    <r>
      <rPr>
        <sz val="9"/>
        <rFont val="Arial"/>
        <family val="0"/>
        <charset val="1"/>
      </rPr>
      <t xml:space="preserve">/ RF </t>
    </r>
    <r>
      <rPr>
        <sz val="9"/>
        <rFont val="Noto Sans CJK SC"/>
        <family val="2"/>
      </rPr>
      <t xml:space="preserve">전원 </t>
    </r>
    <r>
      <rPr>
        <sz val="9"/>
        <rFont val="Arial"/>
        <family val="0"/>
        <charset val="1"/>
      </rPr>
      <t xml:space="preserve">/ AP </t>
    </r>
    <r>
      <rPr>
        <sz val="9"/>
        <rFont val="Noto Sans CJK SC"/>
        <family val="2"/>
      </rPr>
      <t xml:space="preserve">예약</t>
    </r>
  </si>
  <si>
    <r>
      <rPr>
        <b val="true"/>
        <sz val="9"/>
        <rFont val="Noto Sans CJK SC"/>
        <family val="2"/>
      </rPr>
      <t xml:space="preserve">주호소</t>
    </r>
    <r>
      <rPr>
        <b val="true"/>
        <sz val="9"/>
        <rFont val="Arial"/>
        <family val="0"/>
        <charset val="1"/>
      </rPr>
      <t xml:space="preserve">(CC)</t>
    </r>
  </si>
  <si>
    <t xml:space="preserve">chief_complaint</t>
  </si>
  <si>
    <r>
      <rPr>
        <sz val="9"/>
        <rFont val="Noto Sans CJK SC"/>
        <family val="2"/>
      </rPr>
      <t xml:space="preserve">보호자 진술 원문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자유서술 표준화 필요</t>
    </r>
  </si>
  <si>
    <t xml:space="preserve">증상 발현 시점</t>
  </si>
  <si>
    <t xml:space="preserve">onset_dt</t>
  </si>
  <si>
    <r>
      <rPr>
        <sz val="9"/>
        <rFont val="Noto Sans CJK SC"/>
        <family val="2"/>
      </rPr>
      <t xml:space="preserve">보호자 진술 기반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추정값 다수</t>
    </r>
  </si>
  <si>
    <t xml:space="preserve">타 병원 경유</t>
  </si>
  <si>
    <t xml:space="preserve">prior_hospital_yn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</si>
  <si>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전원 여부</t>
    </r>
  </si>
  <si>
    <t xml:space="preserve">이송 방법</t>
  </si>
  <si>
    <t xml:space="preserve">transport_cd</t>
  </si>
  <si>
    <r>
      <rPr>
        <sz val="9"/>
        <rFont val="Arial"/>
        <family val="0"/>
        <charset val="1"/>
      </rPr>
      <t xml:space="preserve">SE </t>
    </r>
    <r>
      <rPr>
        <sz val="9"/>
        <rFont val="Noto Sans CJK SC"/>
        <family val="2"/>
      </rPr>
      <t xml:space="preserve">자가 </t>
    </r>
    <r>
      <rPr>
        <sz val="9"/>
        <rFont val="Arial"/>
        <family val="0"/>
        <charset val="1"/>
      </rPr>
      <t xml:space="preserve">/ AM </t>
    </r>
    <r>
      <rPr>
        <sz val="9"/>
        <rFont val="Noto Sans CJK SC"/>
        <family val="2"/>
      </rPr>
      <t xml:space="preserve">구급 </t>
    </r>
    <r>
      <rPr>
        <sz val="9"/>
        <rFont val="Arial"/>
        <family val="0"/>
        <charset val="1"/>
      </rPr>
      <t xml:space="preserve">/ ET </t>
    </r>
    <r>
      <rPr>
        <sz val="9"/>
        <rFont val="Noto Sans CJK SC"/>
        <family val="2"/>
      </rPr>
      <t xml:space="preserve">기타</t>
    </r>
  </si>
  <si>
    <t xml:space="preserve">트리아지</t>
  </si>
  <si>
    <t xml:space="preserve">중증도 등급</t>
  </si>
  <si>
    <t xml:space="preserve">triage_level</t>
  </si>
  <si>
    <r>
      <rPr>
        <sz val="9"/>
        <rFont val="Arial"/>
        <family val="0"/>
        <charset val="1"/>
      </rPr>
      <t xml:space="preserve">1 </t>
    </r>
    <r>
      <rPr>
        <sz val="9"/>
        <rFont val="Noto Sans CJK SC"/>
        <family val="2"/>
      </rPr>
      <t xml:space="preserve">위급 </t>
    </r>
    <r>
      <rPr>
        <sz val="9"/>
        <rFont val="Arial"/>
        <family val="0"/>
        <charset val="1"/>
      </rPr>
      <t xml:space="preserve">~ 5 </t>
    </r>
    <r>
      <rPr>
        <sz val="9"/>
        <rFont val="Noto Sans CJK SC"/>
        <family val="2"/>
      </rPr>
      <t xml:space="preserve">경증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초기 평가값</t>
    </r>
  </si>
  <si>
    <t xml:space="preserve">의식 수준</t>
  </si>
  <si>
    <t xml:space="preserve">consciousness_cd</t>
  </si>
  <si>
    <r>
      <rPr>
        <sz val="9"/>
        <rFont val="Arial"/>
        <family val="0"/>
        <charset val="1"/>
      </rPr>
      <t xml:space="preserve">AL </t>
    </r>
    <r>
      <rPr>
        <sz val="9"/>
        <rFont val="Noto Sans CJK SC"/>
        <family val="2"/>
      </rPr>
      <t xml:space="preserve">명료 </t>
    </r>
    <r>
      <rPr>
        <sz val="9"/>
        <rFont val="Arial"/>
        <family val="0"/>
        <charset val="1"/>
      </rPr>
      <t xml:space="preserve">/ OB </t>
    </r>
    <r>
      <rPr>
        <sz val="9"/>
        <rFont val="Noto Sans CJK SC"/>
        <family val="2"/>
      </rPr>
      <t xml:space="preserve">둔감 </t>
    </r>
    <r>
      <rPr>
        <sz val="9"/>
        <rFont val="Arial"/>
        <family val="0"/>
        <charset val="1"/>
      </rPr>
      <t xml:space="preserve">/ ST </t>
    </r>
    <r>
      <rPr>
        <sz val="9"/>
        <rFont val="Noto Sans CJK SC"/>
        <family val="2"/>
      </rPr>
      <t xml:space="preserve">혼미 </t>
    </r>
    <r>
      <rPr>
        <sz val="9"/>
        <rFont val="Arial"/>
        <family val="0"/>
        <charset val="1"/>
      </rPr>
      <t xml:space="preserve">/ CO </t>
    </r>
    <r>
      <rPr>
        <sz val="9"/>
        <rFont val="Noto Sans CJK SC"/>
        <family val="2"/>
      </rPr>
      <t xml:space="preserve">혼수</t>
    </r>
  </si>
  <si>
    <t xml:space="preserve">통증 점수</t>
  </si>
  <si>
    <t xml:space="preserve">pain_score</t>
  </si>
  <si>
    <t xml:space="preserve">0 ~ 10</t>
  </si>
  <si>
    <t xml:space="preserve">탈수 정도</t>
  </si>
  <si>
    <t xml:space="preserve">dehydration_pct</t>
  </si>
  <si>
    <r>
      <rPr>
        <sz val="9"/>
        <rFont val="Noto Sans CJK SC"/>
        <family val="2"/>
      </rPr>
      <t xml:space="preserve">추정 탈수율</t>
    </r>
    <r>
      <rPr>
        <sz val="9"/>
        <rFont val="Arial"/>
        <family val="0"/>
        <charset val="1"/>
      </rPr>
      <t xml:space="preserve">(%)</t>
    </r>
  </si>
  <si>
    <t xml:space="preserve">초기 평가 시각</t>
  </si>
  <si>
    <t xml:space="preserve">triage_dt</t>
  </si>
  <si>
    <t xml:space="preserve">트리아지 수행 시각</t>
  </si>
  <si>
    <t xml:space="preserve">우선순위 배정</t>
  </si>
  <si>
    <t xml:space="preserve">triage_priority</t>
  </si>
  <si>
    <r>
      <rPr>
        <sz val="9"/>
        <rFont val="Noto Sans CJK SC"/>
        <family val="2"/>
      </rPr>
      <t xml:space="preserve">등급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대기시간 기반 처치 순위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</si>
  <si>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활력징후 시계열</t>
  </si>
  <si>
    <t xml:space="preserve">체온</t>
  </si>
  <si>
    <t xml:space="preserve">temp_c</t>
  </si>
  <si>
    <t xml:space="preserve">DECIMAL(4,1)</t>
  </si>
  <si>
    <r>
      <rPr>
        <sz val="9"/>
        <rFont val="Arial"/>
        <family val="0"/>
        <charset val="1"/>
      </rPr>
      <t xml:space="preserve">℃ · </t>
    </r>
    <r>
      <rPr>
        <sz val="9"/>
        <rFont val="Noto Sans CJK SC"/>
        <family val="2"/>
      </rPr>
      <t xml:space="preserve">측정 시각별 이력 보관</t>
    </r>
  </si>
  <si>
    <t xml:space="preserve">심박수</t>
  </si>
  <si>
    <t xml:space="preserve">heart_rate</t>
  </si>
  <si>
    <r>
      <rPr>
        <sz val="9"/>
        <rFont val="Noto Sans CJK SC"/>
        <family val="2"/>
      </rPr>
      <t xml:space="preserve">회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분</t>
    </r>
  </si>
  <si>
    <t xml:space="preserve">호흡수</t>
  </si>
  <si>
    <t xml:space="preserve">resp_rate</t>
  </si>
  <si>
    <r>
      <rPr>
        <b val="true"/>
        <sz val="9"/>
        <rFont val="Noto Sans CJK SC"/>
        <family val="2"/>
      </rPr>
      <t xml:space="preserve">혈압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수축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이완</t>
    </r>
    <r>
      <rPr>
        <b val="true"/>
        <sz val="9"/>
        <rFont val="Arial"/>
        <family val="0"/>
        <charset val="1"/>
      </rPr>
      <t xml:space="preserve">)</t>
    </r>
  </si>
  <si>
    <t xml:space="preserve">bp_sys, bp_dia</t>
  </si>
  <si>
    <r>
      <rPr>
        <sz val="9"/>
        <rFont val="Arial"/>
        <family val="0"/>
        <charset val="1"/>
      </rPr>
      <t xml:space="preserve">mmHg · </t>
    </r>
    <r>
      <rPr>
        <sz val="9"/>
        <rFont val="Noto Sans CJK SC"/>
        <family val="2"/>
      </rPr>
      <t xml:space="preserve">측정 누락 빈번</t>
    </r>
  </si>
  <si>
    <t xml:space="preserve">SpO2</t>
  </si>
  <si>
    <t xml:space="preserve">spo2</t>
  </si>
  <si>
    <r>
      <rPr>
        <sz val="9"/>
        <rFont val="Noto Sans CJK SC"/>
        <family val="2"/>
      </rPr>
      <t xml:space="preserve">산소포화도</t>
    </r>
    <r>
      <rPr>
        <sz val="9"/>
        <rFont val="Arial"/>
        <family val="0"/>
        <charset val="1"/>
      </rPr>
      <t xml:space="preserve">(%)</t>
    </r>
  </si>
  <si>
    <t xml:space="preserve">측정 간격</t>
  </si>
  <si>
    <t xml:space="preserve">vital_interval_min</t>
  </si>
  <si>
    <r>
      <rPr>
        <sz val="9"/>
        <rFont val="Noto Sans CJK SC"/>
        <family val="2"/>
      </rPr>
      <t xml:space="preserve">직전 측정과의 간격 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</si>
  <si>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응급 처치</t>
  </si>
  <si>
    <t xml:space="preserve">산소 공급</t>
  </si>
  <si>
    <t xml:space="preserve">oxygen_yn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</si>
  <si>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공급 방식은 별도 코드</t>
    </r>
  </si>
  <si>
    <t xml:space="preserve">수액 처치</t>
  </si>
  <si>
    <t xml:space="preserve">er_fluid_yn</t>
  </si>
  <si>
    <t xml:space="preserve">응급 약물 투여</t>
  </si>
  <si>
    <t xml:space="preserve">er_drug_json</t>
  </si>
  <si>
    <r>
      <rPr>
        <sz val="9"/>
        <rFont val="Noto Sans CJK SC"/>
        <family val="2"/>
      </rPr>
      <t xml:space="preserve">약물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용량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투여시각 배열</t>
    </r>
  </si>
  <si>
    <r>
      <rPr>
        <b val="true"/>
        <sz val="9"/>
        <rFont val="Arial"/>
        <family val="0"/>
        <charset val="1"/>
      </rPr>
      <t xml:space="preserve">CPR </t>
    </r>
    <r>
      <rPr>
        <b val="true"/>
        <sz val="9"/>
        <rFont val="Noto Sans CJK SC"/>
        <family val="2"/>
      </rPr>
      <t xml:space="preserve">시행 여부</t>
    </r>
  </si>
  <si>
    <t xml:space="preserve">cpr_yn</t>
  </si>
  <si>
    <t xml:space="preserve">기도 확보</t>
  </si>
  <si>
    <t xml:space="preserve">airway_cd</t>
  </si>
  <si>
    <r>
      <rPr>
        <sz val="9"/>
        <rFont val="Arial"/>
        <family val="0"/>
        <charset val="1"/>
      </rPr>
      <t xml:space="preserve">NO </t>
    </r>
    <r>
      <rPr>
        <sz val="9"/>
        <rFont val="Noto Sans CJK SC"/>
        <family val="2"/>
      </rPr>
      <t xml:space="preserve">없음 </t>
    </r>
    <r>
      <rPr>
        <sz val="9"/>
        <rFont val="Arial"/>
        <family val="0"/>
        <charset val="1"/>
      </rPr>
      <t xml:space="preserve">/ IN </t>
    </r>
    <r>
      <rPr>
        <sz val="9"/>
        <rFont val="Noto Sans CJK SC"/>
        <family val="2"/>
      </rPr>
      <t xml:space="preserve">삽관 </t>
    </r>
    <r>
      <rPr>
        <sz val="9"/>
        <rFont val="Arial"/>
        <family val="0"/>
        <charset val="1"/>
      </rPr>
      <t xml:space="preserve">/ TR </t>
    </r>
    <r>
      <rPr>
        <sz val="9"/>
        <rFont val="Noto Sans CJK SC"/>
        <family val="2"/>
      </rPr>
      <t xml:space="preserve">기관절개</t>
    </r>
  </si>
  <si>
    <t xml:space="preserve">처치 시각 로그</t>
  </si>
  <si>
    <t xml:space="preserve">er_proc_dt</t>
  </si>
  <si>
    <r>
      <rPr>
        <sz val="9"/>
        <rFont val="Noto Sans CJK SC"/>
        <family val="2"/>
      </rPr>
      <t xml:space="preserve">처치별 수행 시각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시계열 정합 기준</t>
    </r>
  </si>
  <si>
    <r>
      <rPr>
        <sz val="9"/>
        <rFont val="Noto Sans CJK SC"/>
        <family val="2"/>
      </rPr>
      <t xml:space="preserve">입원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경과</t>
    </r>
  </si>
  <si>
    <t xml:space="preserve">입원 일시</t>
  </si>
  <si>
    <t xml:space="preserve">admit_dt</t>
  </si>
  <si>
    <t xml:space="preserve">입원 시작 시각</t>
  </si>
  <si>
    <t xml:space="preserve">재원 기간</t>
  </si>
  <si>
    <t xml:space="preserve">los_days</t>
  </si>
  <si>
    <r>
      <rPr>
        <sz val="9"/>
        <rFont val="Noto Sans CJK SC"/>
        <family val="2"/>
      </rPr>
      <t xml:space="preserve">퇴원일 − 입원일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</si>
  <si>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케이지 번호</t>
  </si>
  <si>
    <t xml:space="preserve">cage_no</t>
  </si>
  <si>
    <t xml:space="preserve">입원실 위치 식별</t>
  </si>
  <si>
    <t xml:space="preserve">교대 인계 기록</t>
  </si>
  <si>
    <t xml:space="preserve">handover_note</t>
  </si>
  <si>
    <r>
      <rPr>
        <sz val="9"/>
        <rFont val="Noto Sans CJK SC"/>
        <family val="2"/>
      </rPr>
      <t xml:space="preserve">교대 시 인계 서술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자유서술</t>
    </r>
  </si>
  <si>
    <r>
      <rPr>
        <b val="true"/>
        <sz val="9"/>
        <rFont val="Noto Sans CJK SC"/>
        <family val="2"/>
      </rPr>
      <t xml:space="preserve">식이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배변 기록</t>
    </r>
  </si>
  <si>
    <t xml:space="preserve">intake_output_json</t>
  </si>
  <si>
    <r>
      <rPr>
        <sz val="9"/>
        <rFont val="Noto Sans CJK SC"/>
        <family val="2"/>
      </rPr>
      <t xml:space="preserve">급여량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배뇨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배변 기록</t>
    </r>
  </si>
  <si>
    <t xml:space="preserve">경과 노트</t>
  </si>
  <si>
    <t xml:space="preserve">progress_note</t>
  </si>
  <si>
    <t xml:space="preserve">일자별 경과 서술</t>
  </si>
  <si>
    <t xml:space="preserve">모니터링 장비</t>
  </si>
  <si>
    <t xml:space="preserve">환자 모니터 로그</t>
  </si>
  <si>
    <t xml:space="preserve">monitor_log_path</t>
  </si>
  <si>
    <t xml:space="preserve">모니터 장비 로그 파일 경로</t>
  </si>
  <si>
    <t xml:space="preserve">수액 펌프 기록</t>
  </si>
  <si>
    <t xml:space="preserve">pump_log_json</t>
  </si>
  <si>
    <r>
      <rPr>
        <sz val="9"/>
        <rFont val="Noto Sans CJK SC"/>
        <family val="2"/>
      </rPr>
      <t xml:space="preserve">주입 속도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총량 이력</t>
    </r>
  </si>
  <si>
    <t xml:space="preserve">산소 농도</t>
  </si>
  <si>
    <t xml:space="preserve">fio2_pct</t>
  </si>
  <si>
    <r>
      <rPr>
        <sz val="9"/>
        <rFont val="Noto Sans CJK SC"/>
        <family val="2"/>
      </rPr>
      <t xml:space="preserve">흡입 산소 농도</t>
    </r>
    <r>
      <rPr>
        <sz val="9"/>
        <rFont val="Arial"/>
        <family val="0"/>
        <charset val="1"/>
      </rPr>
      <t xml:space="preserve">(%)</t>
    </r>
  </si>
  <si>
    <r>
      <rPr>
        <b val="true"/>
        <sz val="9"/>
        <rFont val="Arial"/>
        <family val="0"/>
        <charset val="1"/>
      </rPr>
      <t xml:space="preserve">ECG </t>
    </r>
    <r>
      <rPr>
        <b val="true"/>
        <sz val="9"/>
        <rFont val="Noto Sans CJK SC"/>
        <family val="2"/>
      </rPr>
      <t xml:space="preserve">파형</t>
    </r>
  </si>
  <si>
    <t xml:space="preserve">ecg_wave_path</t>
  </si>
  <si>
    <r>
      <rPr>
        <sz val="9"/>
        <rFont val="Noto Sans CJK SC"/>
        <family val="2"/>
      </rPr>
      <t xml:space="preserve">파형 원파일 경로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추출 난이도 높음</t>
    </r>
  </si>
  <si>
    <t xml:space="preserve">알람 이벤트</t>
  </si>
  <si>
    <t xml:space="preserve">alarm_event_json</t>
  </si>
  <si>
    <r>
      <rPr>
        <sz val="9"/>
        <rFont val="Noto Sans CJK SC"/>
        <family val="2"/>
      </rPr>
      <t xml:space="preserve">알람 종류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발생 시각 배열</t>
    </r>
  </si>
  <si>
    <r>
      <rPr>
        <b val="true"/>
        <sz val="9"/>
        <rFont val="Noto Sans CJK SC"/>
        <family val="2"/>
      </rPr>
      <t xml:space="preserve">장비 </t>
    </r>
    <r>
      <rPr>
        <b val="true"/>
        <sz val="9"/>
        <rFont val="Arial"/>
        <family val="0"/>
        <charset val="1"/>
      </rPr>
      <t xml:space="preserve">ID</t>
    </r>
  </si>
  <si>
    <t xml:space="preserve">monitor_device_id</t>
  </si>
  <si>
    <t xml:space="preserve">모니터 장비 식별자</t>
  </si>
  <si>
    <r>
      <rPr>
        <sz val="9"/>
        <rFont val="Noto Sans CJK SC"/>
        <family val="2"/>
      </rPr>
      <t xml:space="preserve">결과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예후</t>
    </r>
  </si>
  <si>
    <r>
      <rPr>
        <b val="true"/>
        <sz val="9"/>
        <rFont val="Noto Sans CJK SC"/>
        <family val="2"/>
      </rPr>
      <t xml:space="preserve">퇴원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전원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사망</t>
    </r>
  </si>
  <si>
    <t xml:space="preserve">outcome_cd</t>
  </si>
  <si>
    <r>
      <rPr>
        <sz val="9"/>
        <rFont val="Arial"/>
        <family val="0"/>
        <charset val="1"/>
      </rPr>
      <t xml:space="preserve">DC </t>
    </r>
    <r>
      <rPr>
        <sz val="9"/>
        <rFont val="Noto Sans CJK SC"/>
        <family val="2"/>
      </rPr>
      <t xml:space="preserve">퇴원 </t>
    </r>
    <r>
      <rPr>
        <sz val="9"/>
        <rFont val="Arial"/>
        <family val="0"/>
        <charset val="1"/>
      </rPr>
      <t xml:space="preserve">/ TR </t>
    </r>
    <r>
      <rPr>
        <sz val="9"/>
        <rFont val="Noto Sans CJK SC"/>
        <family val="2"/>
      </rPr>
      <t xml:space="preserve">전원 </t>
    </r>
    <r>
      <rPr>
        <sz val="9"/>
        <rFont val="Arial"/>
        <family val="0"/>
        <charset val="1"/>
      </rPr>
      <t xml:space="preserve">/ DE </t>
    </r>
    <r>
      <rPr>
        <sz val="9"/>
        <rFont val="Noto Sans CJK SC"/>
        <family val="2"/>
      </rPr>
      <t xml:space="preserve">사망</t>
    </r>
  </si>
  <si>
    <t xml:space="preserve">재원 일수</t>
  </si>
  <si>
    <r>
      <rPr>
        <sz val="9"/>
        <rFont val="Noto Sans CJK SC"/>
        <family val="2"/>
      </rPr>
      <t xml:space="preserve">입원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경과의 재원 기간과 동일 파생값</t>
    </r>
  </si>
  <si>
    <t xml:space="preserve">재입원 여부</t>
  </si>
  <si>
    <t xml:space="preserve">readmit_yn</t>
  </si>
  <si>
    <r>
      <rPr>
        <sz val="9"/>
        <rFont val="Arial"/>
        <family val="0"/>
        <charset val="1"/>
      </rPr>
      <t xml:space="preserve">Y / N · 30</t>
    </r>
    <r>
      <rPr>
        <sz val="9"/>
        <rFont val="Noto Sans CJK SC"/>
        <family val="2"/>
      </rPr>
      <t xml:space="preserve">일 이내 재입원</t>
    </r>
  </si>
  <si>
    <t xml:space="preserve">합병증 발생</t>
  </si>
  <si>
    <t xml:space="preserve">complication_cd</t>
  </si>
  <si>
    <t xml:space="preserve">합병증 분류 코드</t>
  </si>
  <si>
    <t xml:space="preserve">er_final_dx_cd</t>
  </si>
  <si>
    <t xml:space="preserve">응급 에피소드의 확진 코드</t>
  </si>
  <si>
    <t xml:space="preserve">예후 등급</t>
  </si>
  <si>
    <t xml:space="preserve">prognosis_cd</t>
  </si>
  <si>
    <r>
      <rPr>
        <sz val="9"/>
        <rFont val="Arial"/>
        <family val="0"/>
        <charset val="1"/>
      </rPr>
      <t xml:space="preserve">G </t>
    </r>
    <r>
      <rPr>
        <sz val="9"/>
        <rFont val="Noto Sans CJK SC"/>
        <family val="2"/>
      </rPr>
      <t xml:space="preserve">양호 </t>
    </r>
    <r>
      <rPr>
        <sz val="9"/>
        <rFont val="Arial"/>
        <family val="0"/>
        <charset val="1"/>
      </rPr>
      <t xml:space="preserve">/ F </t>
    </r>
    <r>
      <rPr>
        <sz val="9"/>
        <rFont val="Noto Sans CJK SC"/>
        <family val="2"/>
      </rPr>
      <t xml:space="preserve">보통 </t>
    </r>
    <r>
      <rPr>
        <sz val="9"/>
        <rFont val="Arial"/>
        <family val="0"/>
        <charset val="1"/>
      </rPr>
      <t xml:space="preserve">/ P </t>
    </r>
    <r>
      <rPr>
        <sz val="9"/>
        <rFont val="Noto Sans CJK SC"/>
        <family val="2"/>
      </rPr>
      <t xml:space="preserve">불량</t>
    </r>
  </si>
  <si>
    <t xml:space="preserve">수집 제약</t>
  </si>
  <si>
    <t xml:space="preserve">응급 시 기록 누락</t>
  </si>
  <si>
    <t xml:space="preserve">er_missing_rate</t>
  </si>
  <si>
    <r>
      <rPr>
        <sz val="9"/>
        <rFont val="Noto Sans CJK SC"/>
        <family val="2"/>
      </rPr>
      <t xml:space="preserve">필수 항목 대비 결측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</si>
  <si>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사후 입력 지연</t>
  </si>
  <si>
    <t xml:space="preserve">entry_delay_min</t>
  </si>
  <si>
    <r>
      <rPr>
        <sz val="9"/>
        <rFont val="Noto Sans CJK SC"/>
        <family val="2"/>
      </rPr>
      <t xml:space="preserve">사건 시각 대비 입력 지연 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</si>
  <si>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자유서술 비중</t>
  </si>
  <si>
    <t xml:space="preserve">freetext_rate</t>
  </si>
  <si>
    <r>
      <rPr>
        <sz val="9"/>
        <rFont val="Noto Sans CJK SC"/>
        <family val="2"/>
      </rPr>
      <t xml:space="preserve">기록 중 자유서술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</si>
  <si>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수기 기록 혼재</t>
  </si>
  <si>
    <t xml:space="preserve">handwritten_yn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</si>
  <si>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스캔본만 존재하는 경우</t>
    </r>
  </si>
  <si>
    <t xml:space="preserve">시각 동기화</t>
  </si>
  <si>
    <r>
      <rPr>
        <sz val="9"/>
        <rFont val="Noto Sans CJK SC"/>
        <family val="2"/>
      </rPr>
      <t xml:space="preserve">장비</t>
    </r>
    <r>
      <rPr>
        <sz val="9"/>
        <rFont val="Arial"/>
        <family val="0"/>
        <charset val="1"/>
      </rPr>
      <t xml:space="preserve">·EMR </t>
    </r>
    <r>
      <rPr>
        <sz val="9"/>
        <rFont val="Noto Sans CJK SC"/>
        <family val="2"/>
      </rPr>
      <t xml:space="preserve">간 시각 오차 보정 규칙 — 정합 설계서</t>
    </r>
  </si>
  <si>
    <t xml:space="preserve">동의 취득 시점</t>
  </si>
  <si>
    <t xml:space="preserve">consent_timing_cd</t>
  </si>
  <si>
    <r>
      <rPr>
        <sz val="9"/>
        <rFont val="Arial"/>
        <family val="0"/>
        <charset val="1"/>
      </rPr>
      <t xml:space="preserve">BF </t>
    </r>
    <r>
      <rPr>
        <sz val="9"/>
        <rFont val="Noto Sans CJK SC"/>
        <family val="2"/>
      </rPr>
      <t xml:space="preserve">사전 </t>
    </r>
    <r>
      <rPr>
        <sz val="9"/>
        <rFont val="Arial"/>
        <family val="0"/>
        <charset val="1"/>
      </rPr>
      <t xml:space="preserve">/ AF </t>
    </r>
    <r>
      <rPr>
        <sz val="9"/>
        <rFont val="Noto Sans CJK SC"/>
        <family val="2"/>
      </rPr>
      <t xml:space="preserve">사후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응급 특성상 사후 다수</t>
    </r>
  </si>
  <si>
    <t xml:space="preserve">⑤</t>
  </si>
  <si>
    <r>
      <rPr>
        <sz val="9"/>
        <rFont val="Noto Sans CJK SC"/>
        <family val="2"/>
      </rPr>
      <t xml:space="preserve">개체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보호자 마스터</t>
    </r>
  </si>
  <si>
    <t xml:space="preserve">개체 식별</t>
  </si>
  <si>
    <r>
      <rPr>
        <b val="true"/>
        <sz val="9"/>
        <rFont val="Noto Sans CJK SC"/>
        <family val="2"/>
      </rPr>
      <t xml:space="preserve">개체 </t>
    </r>
    <r>
      <rPr>
        <b val="true"/>
        <sz val="9"/>
        <rFont val="Arial"/>
        <family val="0"/>
        <charset val="1"/>
      </rPr>
      <t xml:space="preserve">ID(</t>
    </r>
    <r>
      <rPr>
        <b val="true"/>
        <sz val="9"/>
        <rFont val="Noto Sans CJK SC"/>
        <family val="2"/>
      </rPr>
      <t xml:space="preserve">내부</t>
    </r>
    <r>
      <rPr>
        <b val="true"/>
        <sz val="9"/>
        <rFont val="Arial"/>
        <family val="0"/>
        <charset val="1"/>
      </rPr>
      <t xml:space="preserve">)</t>
    </r>
  </si>
  <si>
    <t xml:space="preserve">patient_id</t>
  </si>
  <si>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개 사업부 데이터를 잇는 결합 키 </t>
    </r>
    <r>
      <rPr>
        <sz val="9"/>
        <rFont val="Arial"/>
        <family val="0"/>
        <charset val="1"/>
      </rPr>
      <t xml:space="preserve">(PK)</t>
    </r>
  </si>
  <si>
    <t xml:space="preserve">동물등록번호</t>
  </si>
  <si>
    <t xml:space="preserve">animal_reg_no</t>
  </si>
  <si>
    <t xml:space="preserve">VARCHAR(15)</t>
  </si>
  <si>
    <r>
      <rPr>
        <sz val="9"/>
        <rFont val="Noto Sans CJK SC"/>
        <family val="2"/>
      </rPr>
      <t xml:space="preserve">국가 동물등록제 번호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미등록 시 </t>
    </r>
    <r>
      <rPr>
        <sz val="9"/>
        <rFont val="Arial"/>
        <family val="0"/>
        <charset val="1"/>
      </rPr>
      <t xml:space="preserve">NULL</t>
    </r>
  </si>
  <si>
    <t xml:space="preserve">마이크로칩 번호</t>
  </si>
  <si>
    <t xml:space="preserve">microchip_no</t>
  </si>
  <si>
    <r>
      <rPr>
        <sz val="9"/>
        <rFont val="Noto Sans CJK SC"/>
        <family val="2"/>
      </rPr>
      <t xml:space="preserve">체내 삽입 칩 번호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중복 개체 판별에 사용</t>
    </r>
  </si>
  <si>
    <t xml:space="preserve">병원별 차트번호</t>
  </si>
  <si>
    <t xml:space="preserve">chart_no</t>
  </si>
  <si>
    <r>
      <rPr>
        <sz val="9"/>
        <rFont val="Noto Sans CJK SC"/>
        <family val="2"/>
      </rPr>
      <t xml:space="preserve">병원 내부 차트번호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체계가 달라 결합키로 쓰지 않음</t>
    </r>
  </si>
  <si>
    <t xml:space="preserve">개체명</t>
  </si>
  <si>
    <t xml:space="preserve">patient_nm</t>
  </si>
  <si>
    <r>
      <rPr>
        <sz val="9"/>
        <rFont val="Noto Sans CJK SC"/>
        <family val="2"/>
      </rPr>
      <t xml:space="preserve">반려동물 이름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설명문 개인화에 사용</t>
    </r>
  </si>
  <si>
    <t xml:space="preserve">중복 개체 판별</t>
  </si>
  <si>
    <t xml:space="preserve">dup_patient_flag</t>
  </si>
  <si>
    <r>
      <rPr>
        <sz val="9"/>
        <rFont val="Noto Sans CJK SC"/>
        <family val="2"/>
      </rPr>
      <t xml:space="preserve">칩번호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보호자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품종 조합 중복 검출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</si>
  <si>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개체 속성</t>
  </si>
  <si>
    <t xml:space="preserve">축종</t>
  </si>
  <si>
    <t xml:space="preserve">species_cd</t>
  </si>
  <si>
    <r>
      <rPr>
        <sz val="9"/>
        <rFont val="Arial"/>
        <family val="0"/>
        <charset val="1"/>
      </rPr>
      <t xml:space="preserve">DG </t>
    </r>
    <r>
      <rPr>
        <sz val="9"/>
        <rFont val="Noto Sans CJK SC"/>
        <family val="2"/>
      </rPr>
      <t xml:space="preserve">개 </t>
    </r>
    <r>
      <rPr>
        <sz val="9"/>
        <rFont val="Arial"/>
        <family val="0"/>
        <charset val="1"/>
      </rPr>
      <t xml:space="preserve">/ CT </t>
    </r>
    <r>
      <rPr>
        <sz val="9"/>
        <rFont val="Noto Sans CJK SC"/>
        <family val="2"/>
      </rPr>
      <t xml:space="preserve">고양이 </t>
    </r>
    <r>
      <rPr>
        <sz val="9"/>
        <rFont val="Arial"/>
        <family val="0"/>
        <charset val="1"/>
      </rPr>
      <t xml:space="preserve">/ EX </t>
    </r>
    <r>
      <rPr>
        <sz val="9"/>
        <rFont val="Noto Sans CJK SC"/>
        <family val="2"/>
      </rPr>
      <t xml:space="preserve">특수동물</t>
    </r>
  </si>
  <si>
    <t xml:space="preserve">품종</t>
  </si>
  <si>
    <t xml:space="preserve">breed_cd</t>
  </si>
  <si>
    <r>
      <rPr>
        <sz val="9"/>
        <rFont val="Noto Sans CJK SC"/>
        <family val="2"/>
      </rPr>
      <t xml:space="preserve">표준 품종 코드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미등록은 </t>
    </r>
    <r>
      <rPr>
        <sz val="9"/>
        <rFont val="Arial"/>
        <family val="0"/>
        <charset val="1"/>
      </rPr>
      <t xml:space="preserve">ETC</t>
    </r>
  </si>
  <si>
    <r>
      <rPr>
        <b val="true"/>
        <sz val="9"/>
        <rFont val="Noto Sans CJK SC"/>
        <family val="2"/>
      </rPr>
      <t xml:space="preserve">성별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중성화</t>
    </r>
  </si>
  <si>
    <t xml:space="preserve">sex_cd, neuter_yn</t>
  </si>
  <si>
    <r>
      <rPr>
        <sz val="9"/>
        <rFont val="Arial"/>
        <family val="0"/>
        <charset val="1"/>
      </rPr>
      <t xml:space="preserve">M / F / U · </t>
    </r>
    <r>
      <rPr>
        <sz val="9"/>
        <rFont val="Noto Sans CJK SC"/>
        <family val="2"/>
      </rPr>
      <t xml:space="preserve">중성화 </t>
    </r>
    <r>
      <rPr>
        <sz val="9"/>
        <rFont val="Arial"/>
        <family val="0"/>
        <charset val="1"/>
      </rPr>
      <t xml:space="preserve">Y / N / U</t>
    </r>
  </si>
  <si>
    <t xml:space="preserve">생년월일</t>
  </si>
  <si>
    <t xml:space="preserve">birth_dt</t>
  </si>
  <si>
    <r>
      <rPr>
        <sz val="9"/>
        <rFont val="Noto Sans CJK SC"/>
        <family val="2"/>
      </rPr>
      <t xml:space="preserve">연령은 검사일 기준 파생 산출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직접 저장하지 않음</t>
    </r>
    <r>
      <rPr>
        <sz val="9"/>
        <rFont val="Arial"/>
        <family val="0"/>
        <charset val="1"/>
      </rPr>
      <t xml:space="preserve">)</t>
    </r>
  </si>
  <si>
    <t xml:space="preserve">체중 이력</t>
  </si>
  <si>
    <t xml:space="preserve">body_weight_kg</t>
  </si>
  <si>
    <t xml:space="preserve">DECIMAL(5,2)</t>
  </si>
  <si>
    <r>
      <rPr>
        <sz val="9"/>
        <rFont val="Arial"/>
        <family val="0"/>
        <charset val="1"/>
      </rPr>
      <t xml:space="preserve">kg · </t>
    </r>
    <r>
      <rPr>
        <sz val="9"/>
        <rFont val="Noto Sans CJK SC"/>
        <family val="2"/>
      </rPr>
      <t xml:space="preserve">측정 시점별 이력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용량 환산 기준값</t>
    </r>
  </si>
  <si>
    <r>
      <rPr>
        <b val="true"/>
        <sz val="9"/>
        <rFont val="Arial"/>
        <family val="0"/>
        <charset val="1"/>
      </rPr>
      <t xml:space="preserve">BCS · </t>
    </r>
    <r>
      <rPr>
        <b val="true"/>
        <sz val="9"/>
        <rFont val="Noto Sans CJK SC"/>
        <family val="2"/>
      </rPr>
      <t xml:space="preserve">근육량</t>
    </r>
  </si>
  <si>
    <t xml:space="preserve">bcs_score</t>
  </si>
  <si>
    <r>
      <rPr>
        <sz val="9"/>
        <rFont val="Noto Sans CJK SC"/>
        <family val="2"/>
      </rPr>
      <t xml:space="preserve">체형 점수 </t>
    </r>
    <r>
      <rPr>
        <sz val="9"/>
        <rFont val="Arial"/>
        <family val="0"/>
        <charset val="1"/>
      </rPr>
      <t xml:space="preserve">1~9 · </t>
    </r>
    <r>
      <rPr>
        <sz val="9"/>
        <rFont val="Noto Sans CJK SC"/>
        <family val="2"/>
      </rPr>
      <t xml:space="preserve">비만 관련 질환 보정</t>
    </r>
  </si>
  <si>
    <t xml:space="preserve">병력 배경</t>
  </si>
  <si>
    <t xml:space="preserve">기저질환 목록</t>
  </si>
  <si>
    <t xml:space="preserve">chronic_disease_cd</t>
  </si>
  <si>
    <t xml:space="preserve">VARCHAR(200)</t>
  </si>
  <si>
    <r>
      <rPr>
        <sz val="9"/>
        <rFont val="Noto Sans CJK SC"/>
        <family val="2"/>
      </rPr>
      <t xml:space="preserve">표준 진단명 코드 다중 저장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콤마 구분</t>
    </r>
    <r>
      <rPr>
        <sz val="9"/>
        <rFont val="Arial"/>
        <family val="0"/>
        <charset val="1"/>
      </rPr>
      <t xml:space="preserve">)</t>
    </r>
  </si>
  <si>
    <t xml:space="preserve">만성질환 여부</t>
  </si>
  <si>
    <t xml:space="preserve">chronic_yn</t>
  </si>
  <si>
    <r>
      <rPr>
        <sz val="9"/>
        <rFont val="Noto Sans CJK SC"/>
        <family val="2"/>
      </rPr>
      <t xml:space="preserve">기저질환 목록 존재 여부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</si>
  <si>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알레르기</t>
  </si>
  <si>
    <t xml:space="preserve">allergy_nm</t>
  </si>
  <si>
    <r>
      <rPr>
        <sz val="9"/>
        <rFont val="Noto Sans CJK SC"/>
        <family val="2"/>
      </rPr>
      <t xml:space="preserve">약물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식이 알레르기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투약 안전성 필터링 입력</t>
    </r>
  </si>
  <si>
    <r>
      <rPr>
        <sz val="9"/>
        <rFont val="Noto Sans CJK SC"/>
        <family val="2"/>
      </rPr>
      <t xml:space="preserve">개체 마스터의 과거 수술 이력 </t>
    </r>
    <r>
      <rPr>
        <sz val="9"/>
        <rFont val="Arial"/>
        <family val="0"/>
        <charset val="1"/>
      </rPr>
      <t xml:space="preserve">(③</t>
    </r>
    <r>
      <rPr>
        <sz val="9"/>
        <rFont val="Noto Sans CJK SC"/>
        <family val="2"/>
      </rPr>
      <t xml:space="preserve">과 동일 구조</t>
    </r>
    <r>
      <rPr>
        <sz val="9"/>
        <rFont val="Arial"/>
        <family val="0"/>
        <charset val="1"/>
      </rPr>
      <t xml:space="preserve">)</t>
    </r>
  </si>
  <si>
    <t xml:space="preserve">예방접종력</t>
  </si>
  <si>
    <t xml:space="preserve">vaccine_hist_json</t>
  </si>
  <si>
    <r>
      <rPr>
        <sz val="9"/>
        <rFont val="Noto Sans CJK SC"/>
        <family val="2"/>
      </rPr>
      <t xml:space="preserve">접종 항목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일자 배열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감염성 질환 감별 보조</t>
    </r>
  </si>
  <si>
    <t xml:space="preserve">심장사상충 예방</t>
  </si>
  <si>
    <t xml:space="preserve">hw_prevent_yn</t>
  </si>
  <si>
    <r>
      <rPr>
        <sz val="9"/>
        <rFont val="Arial"/>
        <family val="0"/>
        <charset val="1"/>
      </rPr>
      <t xml:space="preserve">Y / N / U · </t>
    </r>
    <r>
      <rPr>
        <sz val="9"/>
        <rFont val="Noto Sans CJK SC"/>
        <family val="2"/>
      </rPr>
      <t xml:space="preserve">심장 영상 판독의 배경 정보</t>
    </r>
  </si>
  <si>
    <t xml:space="preserve">생활 정보</t>
  </si>
  <si>
    <r>
      <rPr>
        <b val="true"/>
        <sz val="9"/>
        <rFont val="Noto Sans CJK SC"/>
        <family val="2"/>
      </rPr>
      <t xml:space="preserve">실내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실외</t>
    </r>
  </si>
  <si>
    <t xml:space="preserve">living_env_cd</t>
  </si>
  <si>
    <r>
      <rPr>
        <sz val="9"/>
        <rFont val="Arial"/>
        <family val="0"/>
        <charset val="1"/>
      </rPr>
      <t xml:space="preserve">IN </t>
    </r>
    <r>
      <rPr>
        <sz val="9"/>
        <rFont val="Noto Sans CJK SC"/>
        <family val="2"/>
      </rPr>
      <t xml:space="preserve">실내 </t>
    </r>
    <r>
      <rPr>
        <sz val="9"/>
        <rFont val="Arial"/>
        <family val="0"/>
        <charset val="1"/>
      </rPr>
      <t xml:space="preserve">/ OU </t>
    </r>
    <r>
      <rPr>
        <sz val="9"/>
        <rFont val="Noto Sans CJK SC"/>
        <family val="2"/>
      </rPr>
      <t xml:space="preserve">실외 </t>
    </r>
    <r>
      <rPr>
        <sz val="9"/>
        <rFont val="Arial"/>
        <family val="0"/>
        <charset val="1"/>
      </rPr>
      <t xml:space="preserve">/ MX </t>
    </r>
    <r>
      <rPr>
        <sz val="9"/>
        <rFont val="Noto Sans CJK SC"/>
        <family val="2"/>
      </rPr>
      <t xml:space="preserve">혼합</t>
    </r>
  </si>
  <si>
    <t xml:space="preserve">사료 종류</t>
  </si>
  <si>
    <t xml:space="preserve">diet_type_cd</t>
  </si>
  <si>
    <r>
      <rPr>
        <sz val="9"/>
        <rFont val="Arial"/>
        <family val="0"/>
        <charset val="1"/>
      </rPr>
      <t xml:space="preserve">DR </t>
    </r>
    <r>
      <rPr>
        <sz val="9"/>
        <rFont val="Noto Sans CJK SC"/>
        <family val="2"/>
      </rPr>
      <t xml:space="preserve">건사료 </t>
    </r>
    <r>
      <rPr>
        <sz val="9"/>
        <rFont val="Arial"/>
        <family val="0"/>
        <charset val="1"/>
      </rPr>
      <t xml:space="preserve">/ WE </t>
    </r>
    <r>
      <rPr>
        <sz val="9"/>
        <rFont val="Noto Sans CJK SC"/>
        <family val="2"/>
      </rPr>
      <t xml:space="preserve">습식 </t>
    </r>
    <r>
      <rPr>
        <sz val="9"/>
        <rFont val="Arial"/>
        <family val="0"/>
        <charset val="1"/>
      </rPr>
      <t xml:space="preserve">/ HM </t>
    </r>
    <r>
      <rPr>
        <sz val="9"/>
        <rFont val="Noto Sans CJK SC"/>
        <family val="2"/>
      </rPr>
      <t xml:space="preserve">자연식 </t>
    </r>
    <r>
      <rPr>
        <sz val="9"/>
        <rFont val="Arial"/>
        <family val="0"/>
        <charset val="1"/>
      </rPr>
      <t xml:space="preserve">/ RX </t>
    </r>
    <r>
      <rPr>
        <sz val="9"/>
        <rFont val="Noto Sans CJK SC"/>
        <family val="2"/>
      </rPr>
      <t xml:space="preserve">처방식</t>
    </r>
  </si>
  <si>
    <t xml:space="preserve">급여량</t>
  </si>
  <si>
    <t xml:space="preserve">feed_amount_g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</si>
  <si>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일 급여량</t>
    </r>
    <r>
      <rPr>
        <sz val="9"/>
        <rFont val="Arial"/>
        <family val="0"/>
        <charset val="1"/>
      </rPr>
      <t xml:space="preserve">(g)</t>
    </r>
  </si>
  <si>
    <r>
      <rPr>
        <b val="true"/>
        <sz val="9"/>
        <rFont val="Noto Sans CJK SC"/>
        <family val="2"/>
      </rPr>
      <t xml:space="preserve">다견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다묘 여부</t>
    </r>
  </si>
  <si>
    <t xml:space="preserve">multi_pet_yn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</si>
  <si>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감염성 질환 전파 위험 배경</t>
    </r>
  </si>
  <si>
    <t xml:space="preserve">운동량</t>
  </si>
  <si>
    <t xml:space="preserve">exercise_level_cd</t>
  </si>
  <si>
    <t xml:space="preserve">L / M / H</t>
  </si>
  <si>
    <t xml:space="preserve">스트레스 요인</t>
  </si>
  <si>
    <t xml:space="preserve">stress_factor</t>
  </si>
  <si>
    <r>
      <rPr>
        <sz val="9"/>
        <rFont val="Noto Sans CJK SC"/>
        <family val="2"/>
      </rPr>
      <t xml:space="preserve">이사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동거동물 변화 등 서술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수집률 낮음</t>
    </r>
  </si>
  <si>
    <t xml:space="preserve">보호자 식별</t>
  </si>
  <si>
    <r>
      <rPr>
        <b val="true"/>
        <sz val="9"/>
        <rFont val="Noto Sans CJK SC"/>
        <family val="2"/>
      </rPr>
      <t xml:space="preserve">보호자 </t>
    </r>
    <r>
      <rPr>
        <b val="true"/>
        <sz val="9"/>
        <rFont val="Arial"/>
        <family val="0"/>
        <charset val="1"/>
      </rPr>
      <t xml:space="preserve">ID</t>
    </r>
  </si>
  <si>
    <t xml:space="preserve">owner_id</t>
  </si>
  <si>
    <r>
      <rPr>
        <sz val="9"/>
        <rFont val="Noto Sans CJK SC"/>
        <family val="2"/>
      </rPr>
      <t xml:space="preserve">보호자 식별자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개체와 </t>
    </r>
    <r>
      <rPr>
        <sz val="9"/>
        <rFont val="Arial"/>
        <family val="0"/>
        <charset val="1"/>
      </rPr>
      <t xml:space="preserve">1:N </t>
    </r>
    <r>
      <rPr>
        <sz val="9"/>
        <rFont val="Noto Sans CJK SC"/>
        <family val="2"/>
      </rPr>
      <t xml:space="preserve">관계 </t>
    </r>
    <r>
      <rPr>
        <sz val="9"/>
        <rFont val="Arial"/>
        <family val="0"/>
        <charset val="1"/>
      </rPr>
      <t xml:space="preserve">(FK)</t>
    </r>
  </si>
  <si>
    <r>
      <rPr>
        <b val="true"/>
        <sz val="9"/>
        <rFont val="Noto Sans CJK SC"/>
        <family val="2"/>
      </rPr>
      <t xml:space="preserve">성명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연락처</t>
    </r>
  </si>
  <si>
    <t xml:space="preserve">owner_nm, owner_mobile</t>
  </si>
  <si>
    <r>
      <rPr>
        <sz val="9"/>
        <rFont val="Noto Sans CJK SC"/>
        <family val="2"/>
      </rPr>
      <t xml:space="preserve">가명처리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암호화 대상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학습 데이터셋 제외</t>
    </r>
  </si>
  <si>
    <t xml:space="preserve">보유 반려동물 수</t>
  </si>
  <si>
    <t xml:space="preserve">owner_pet_cnt</t>
  </si>
  <si>
    <r>
      <rPr>
        <sz val="9"/>
        <rFont val="Noto Sans CJK SC"/>
        <family val="2"/>
      </rPr>
      <t xml:space="preserve">보호자당 개체 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</si>
  <si>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보조 보호자</t>
    </r>
  </si>
  <si>
    <t xml:space="preserve">owner_role_cd</t>
  </si>
  <si>
    <r>
      <rPr>
        <sz val="9"/>
        <rFont val="Arial"/>
        <family val="0"/>
        <charset val="1"/>
      </rPr>
      <t xml:space="preserve">P </t>
    </r>
    <r>
      <rPr>
        <sz val="9"/>
        <rFont val="Noto Sans CJK SC"/>
        <family val="2"/>
      </rPr>
      <t xml:space="preserve">주 보호자 </t>
    </r>
    <r>
      <rPr>
        <sz val="9"/>
        <rFont val="Arial"/>
        <family val="0"/>
        <charset val="1"/>
      </rPr>
      <t xml:space="preserve">/ S </t>
    </r>
    <r>
      <rPr>
        <sz val="9"/>
        <rFont val="Noto Sans CJK SC"/>
        <family val="2"/>
      </rPr>
      <t xml:space="preserve">보조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설명 대상 판정</t>
    </r>
  </si>
  <si>
    <t xml:space="preserve">회원 등급</t>
  </si>
  <si>
    <t xml:space="preserve">member_grade_cd</t>
  </si>
  <si>
    <t xml:space="preserve">병원 회원 등급</t>
  </si>
  <si>
    <t xml:space="preserve">가입 채널</t>
  </si>
  <si>
    <t xml:space="preserve">signup_channel_cd</t>
  </si>
  <si>
    <r>
      <rPr>
        <sz val="9"/>
        <rFont val="Noto Sans CJK SC"/>
        <family val="2"/>
      </rPr>
      <t xml:space="preserve">병원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앱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제휴</t>
    </r>
  </si>
  <si>
    <t xml:space="preserve">보호자 특성</t>
  </si>
  <si>
    <t xml:space="preserve">연령대</t>
  </si>
  <si>
    <t xml:space="preserve">owner_age_band</t>
  </si>
  <si>
    <r>
      <rPr>
        <sz val="9"/>
        <rFont val="Arial"/>
        <family val="0"/>
        <charset val="1"/>
      </rPr>
      <t xml:space="preserve">20S / 30S / 40S / 50S / 60U · </t>
    </r>
    <r>
      <rPr>
        <sz val="9"/>
        <rFont val="Noto Sans CJK SC"/>
        <family val="2"/>
      </rPr>
      <t xml:space="preserve">설명 난이도 결정</t>
    </r>
  </si>
  <si>
    <t xml:space="preserve">거주 지역</t>
  </si>
  <si>
    <t xml:space="preserve">owner_region_cd</t>
  </si>
  <si>
    <r>
      <rPr>
        <sz val="9"/>
        <rFont val="Noto Sans CJK SC"/>
        <family val="2"/>
      </rPr>
      <t xml:space="preserve">시군구 단위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재방문 거리 분석</t>
    </r>
  </si>
  <si>
    <t xml:space="preserve">반려 경험 연수</t>
  </si>
  <si>
    <t xml:space="preserve">owner_exp_years</t>
  </si>
  <si>
    <r>
      <rPr>
        <sz val="9"/>
        <rFont val="Noto Sans CJK SC"/>
        <family val="2"/>
      </rPr>
      <t xml:space="preserve">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설명 난이도 결정 변수</t>
    </r>
  </si>
  <si>
    <t xml:space="preserve">희망 설명 난이도</t>
  </si>
  <si>
    <t xml:space="preserve">pref_report_level</t>
  </si>
  <si>
    <r>
      <rPr>
        <sz val="9"/>
        <rFont val="Arial"/>
        <family val="0"/>
        <charset val="1"/>
      </rPr>
      <t xml:space="preserve">L </t>
    </r>
    <r>
      <rPr>
        <sz val="9"/>
        <rFont val="Noto Sans CJK SC"/>
        <family val="2"/>
      </rPr>
      <t xml:space="preserve">초급 </t>
    </r>
    <r>
      <rPr>
        <sz val="9"/>
        <rFont val="Arial"/>
        <family val="0"/>
        <charset val="1"/>
      </rPr>
      <t xml:space="preserve">/ M </t>
    </r>
    <r>
      <rPr>
        <sz val="9"/>
        <rFont val="Noto Sans CJK SC"/>
        <family val="2"/>
      </rPr>
      <t xml:space="preserve">중급 </t>
    </r>
    <r>
      <rPr>
        <sz val="9"/>
        <rFont val="Arial"/>
        <family val="0"/>
        <charset val="1"/>
      </rPr>
      <t xml:space="preserve">/ H </t>
    </r>
    <r>
      <rPr>
        <sz val="9"/>
        <rFont val="Noto Sans CJK SC"/>
        <family val="2"/>
      </rPr>
      <t xml:space="preserve">상급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보호자 직접 선택</t>
    </r>
  </si>
  <si>
    <t xml:space="preserve">사용 언어</t>
  </si>
  <si>
    <t xml:space="preserve">owner_lang_cd</t>
  </si>
  <si>
    <r>
      <rPr>
        <sz val="9"/>
        <rFont val="Arial"/>
        <family val="0"/>
        <charset val="1"/>
      </rPr>
      <t xml:space="preserve">KO / EN </t>
    </r>
    <r>
      <rPr>
        <sz val="9"/>
        <rFont val="Noto Sans CJK SC"/>
        <family val="2"/>
      </rPr>
      <t xml:space="preserve">등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리포트 생성 언어 결정</t>
    </r>
  </si>
  <si>
    <r>
      <rPr>
        <b val="true"/>
        <sz val="9"/>
        <rFont val="Noto Sans CJK SC"/>
        <family val="2"/>
      </rPr>
      <t xml:space="preserve">관심 축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비용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예후</t>
    </r>
    <r>
      <rPr>
        <b val="true"/>
        <sz val="9"/>
        <rFont val="Arial"/>
        <family val="0"/>
        <charset val="1"/>
      </rPr>
      <t xml:space="preserve">)</t>
    </r>
  </si>
  <si>
    <t xml:space="preserve">pref_topic_cd</t>
  </si>
  <si>
    <r>
      <rPr>
        <sz val="9"/>
        <rFont val="Arial"/>
        <family val="0"/>
        <charset val="1"/>
      </rPr>
      <t xml:space="preserve">CO </t>
    </r>
    <r>
      <rPr>
        <sz val="9"/>
        <rFont val="Noto Sans CJK SC"/>
        <family val="2"/>
      </rPr>
      <t xml:space="preserve">비용 </t>
    </r>
    <r>
      <rPr>
        <sz val="9"/>
        <rFont val="Arial"/>
        <family val="0"/>
        <charset val="1"/>
      </rPr>
      <t xml:space="preserve">/ PR </t>
    </r>
    <r>
      <rPr>
        <sz val="9"/>
        <rFont val="Noto Sans CJK SC"/>
        <family val="2"/>
      </rPr>
      <t xml:space="preserve">예후 </t>
    </r>
    <r>
      <rPr>
        <sz val="9"/>
        <rFont val="Arial"/>
        <family val="0"/>
        <charset val="1"/>
      </rPr>
      <t xml:space="preserve">/ HC </t>
    </r>
    <r>
      <rPr>
        <sz val="9"/>
        <rFont val="Noto Sans CJK SC"/>
        <family val="2"/>
      </rPr>
      <t xml:space="preserve">홈케어</t>
    </r>
  </si>
  <si>
    <r>
      <rPr>
        <sz val="9"/>
        <rFont val="Noto Sans CJK SC"/>
        <family val="2"/>
      </rPr>
      <t xml:space="preserve">동의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권리</t>
    </r>
  </si>
  <si>
    <t xml:space="preserve">개인정보 수집 동의</t>
  </si>
  <si>
    <t xml:space="preserve">consent_privacy_yn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</si>
  <si>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미동의 시 서비스 제공 불가</t>
    </r>
  </si>
  <si>
    <t xml:space="preserve">진료정보 활용 동의</t>
  </si>
  <si>
    <t xml:space="preserve">consent_medical_yn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</si>
  <si>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리포트 생성의 전제 조건</t>
    </r>
  </si>
  <si>
    <t xml:space="preserve">학습 활용 동의</t>
  </si>
  <si>
    <t xml:space="preserve">consent_ai_yn</t>
  </si>
  <si>
    <r>
      <rPr>
        <sz val="9"/>
        <rFont val="Arial"/>
        <family val="0"/>
        <charset val="1"/>
      </rPr>
      <t xml:space="preserve">Y / N · N</t>
    </r>
    <r>
      <rPr>
        <sz val="9"/>
        <rFont val="Noto Sans CJK SC"/>
        <family val="2"/>
      </rPr>
      <t xml:space="preserve">이면 학습 데이터셋에서 전량 제외</t>
    </r>
  </si>
  <si>
    <t xml:space="preserve">마케팅 수신 동의</t>
  </si>
  <si>
    <t xml:space="preserve">consent_mkt_yn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</si>
  <si>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구독 안내 발송 가부</t>
    </r>
  </si>
  <si>
    <r>
      <rPr>
        <b val="true"/>
        <sz val="9"/>
        <rFont val="Noto Sans CJK SC"/>
        <family val="2"/>
      </rPr>
      <t xml:space="preserve">동의 일시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버전</t>
    </r>
  </si>
  <si>
    <t xml:space="preserve">consent_dt, consent_ver</t>
  </si>
  <si>
    <r>
      <rPr>
        <sz val="9"/>
        <rFont val="Noto Sans CJK SC"/>
        <family val="2"/>
      </rPr>
      <t xml:space="preserve">동의 시각과 약관 버전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소급 적용 판단 근거</t>
    </r>
  </si>
  <si>
    <t xml:space="preserve">철회 이력</t>
  </si>
  <si>
    <t xml:space="preserve">consent_withdraw_dt</t>
  </si>
  <si>
    <r>
      <rPr>
        <sz val="9"/>
        <rFont val="Noto Sans CJK SC"/>
        <family val="2"/>
      </rPr>
      <t xml:space="preserve">철회 시각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해당 개체 학습 제외 처리</t>
    </r>
  </si>
  <si>
    <r>
      <rPr>
        <sz val="9"/>
        <rFont val="Arial"/>
        <family val="0"/>
        <charset val="1"/>
      </rPr>
      <t xml:space="preserve">ID </t>
    </r>
    <r>
      <rPr>
        <sz val="9"/>
        <rFont val="Noto Sans CJK SC"/>
        <family val="2"/>
      </rPr>
      <t xml:space="preserve">매핑</t>
    </r>
  </si>
  <si>
    <r>
      <rPr>
        <b val="true"/>
        <sz val="9"/>
        <rFont val="Noto Sans CJK SC"/>
        <family val="2"/>
      </rPr>
      <t xml:space="preserve">사업부 간 </t>
    </r>
    <r>
      <rPr>
        <b val="true"/>
        <sz val="9"/>
        <rFont val="Arial"/>
        <family val="0"/>
        <charset val="1"/>
      </rPr>
      <t xml:space="preserve">ID </t>
    </r>
    <r>
      <rPr>
        <b val="true"/>
        <sz val="9"/>
        <rFont val="Noto Sans CJK SC"/>
        <family val="2"/>
      </rPr>
      <t xml:space="preserve">연결</t>
    </r>
  </si>
  <si>
    <t xml:space="preserve">id_map_json</t>
  </si>
  <si>
    <r>
      <rPr>
        <sz val="9"/>
        <rFont val="Noto Sans CJK SC"/>
        <family val="2"/>
      </rPr>
      <t xml:space="preserve">영상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검사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처방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응급 각 시스템 </t>
    </r>
    <r>
      <rPr>
        <sz val="9"/>
        <rFont val="Arial"/>
        <family val="0"/>
        <charset val="1"/>
      </rPr>
      <t xml:space="preserve">ID </t>
    </r>
    <r>
      <rPr>
        <sz val="9"/>
        <rFont val="Noto Sans CJK SC"/>
        <family val="2"/>
      </rPr>
      <t xml:space="preserve">매핑 집합</t>
    </r>
  </si>
  <si>
    <t xml:space="preserve">병원 코드 체계</t>
  </si>
  <si>
    <t xml:space="preserve">hospital_cd_master</t>
  </si>
  <si>
    <r>
      <rPr>
        <sz val="9"/>
        <rFont val="Noto Sans CJK SC"/>
        <family val="2"/>
      </rPr>
      <t xml:space="preserve">병원 식별 코드 표준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참조 테이블</t>
    </r>
    <r>
      <rPr>
        <sz val="9"/>
        <rFont val="Arial"/>
        <family val="0"/>
        <charset val="1"/>
      </rPr>
      <t xml:space="preserve">)</t>
    </r>
  </si>
  <si>
    <t xml:space="preserve">동명이인 처리</t>
  </si>
  <si>
    <t xml:space="preserve">보호자 동명이인 구분 규칙 — 마스터 관리 규칙서</t>
  </si>
  <si>
    <t xml:space="preserve">보호자 변경 이력</t>
  </si>
  <si>
    <t xml:space="preserve">owner_change_json</t>
  </si>
  <si>
    <r>
      <rPr>
        <sz val="9"/>
        <rFont val="Noto Sans CJK SC"/>
        <family val="2"/>
      </rPr>
      <t xml:space="preserve">입양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양도 등 보호자 변경 이력</t>
    </r>
  </si>
  <si>
    <t xml:space="preserve">전원 시 이관</t>
  </si>
  <si>
    <t xml:space="preserve">transfer_hospital_cd</t>
  </si>
  <si>
    <r>
      <rPr>
        <sz val="9"/>
        <rFont val="Noto Sans CJK SC"/>
        <family val="2"/>
      </rPr>
      <t xml:space="preserve">전원 대상 병원 코드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데이터 이관 범위 별도</t>
    </r>
  </si>
  <si>
    <t xml:space="preserve">마스터 갱신 주기</t>
  </si>
  <si>
    <t xml:space="preserve">마스터 재동기화 주기 — 운영 정책으로 관리</t>
  </si>
  <si>
    <t xml:space="preserve">⑥</t>
  </si>
  <si>
    <r>
      <rPr>
        <sz val="9"/>
        <rFont val="Noto Sans CJK SC"/>
        <family val="2"/>
      </rPr>
      <t xml:space="preserve">통합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품질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거버넌스</t>
    </r>
  </si>
  <si>
    <r>
      <rPr>
        <sz val="9"/>
        <rFont val="Noto Sans CJK SC"/>
        <family val="2"/>
      </rPr>
      <t xml:space="preserve">수집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연계</t>
    </r>
  </si>
  <si>
    <t xml:space="preserve">연동 대상 시스템</t>
  </si>
  <si>
    <t xml:space="preserve">source_system_cd</t>
  </si>
  <si>
    <r>
      <rPr>
        <sz val="9"/>
        <rFont val="Arial"/>
        <family val="0"/>
        <charset val="1"/>
      </rPr>
      <t xml:space="preserve">PACS / LIS / EMR / ER </t>
    </r>
    <r>
      <rPr>
        <sz val="9"/>
        <rFont val="Noto Sans CJK SC"/>
        <family val="2"/>
      </rPr>
      <t xml:space="preserve">등 원천 시스템 구분</t>
    </r>
  </si>
  <si>
    <r>
      <rPr>
        <b val="true"/>
        <sz val="9"/>
        <rFont val="Noto Sans CJK SC"/>
        <family val="2"/>
      </rPr>
      <t xml:space="preserve">연동 방식</t>
    </r>
    <r>
      <rPr>
        <b val="true"/>
        <sz val="9"/>
        <rFont val="Arial"/>
        <family val="0"/>
        <charset val="1"/>
      </rPr>
      <t xml:space="preserve">(API · </t>
    </r>
    <r>
      <rPr>
        <b val="true"/>
        <sz val="9"/>
        <rFont val="Noto Sans CJK SC"/>
        <family val="2"/>
      </rPr>
      <t xml:space="preserve">배치</t>
    </r>
    <r>
      <rPr>
        <b val="true"/>
        <sz val="9"/>
        <rFont val="Arial"/>
        <family val="0"/>
        <charset val="1"/>
      </rPr>
      <t xml:space="preserve">)</t>
    </r>
  </si>
  <si>
    <t xml:space="preserve">ingest_mode_cd</t>
  </si>
  <si>
    <r>
      <rPr>
        <sz val="9"/>
        <rFont val="Arial"/>
        <family val="0"/>
        <charset val="1"/>
      </rPr>
      <t xml:space="preserve">AP API / BA </t>
    </r>
    <r>
      <rPr>
        <sz val="9"/>
        <rFont val="Noto Sans CJK SC"/>
        <family val="2"/>
      </rPr>
      <t xml:space="preserve">배치 </t>
    </r>
    <r>
      <rPr>
        <sz val="9"/>
        <rFont val="Arial"/>
        <family val="0"/>
        <charset val="1"/>
      </rPr>
      <t xml:space="preserve">/ FT </t>
    </r>
    <r>
      <rPr>
        <sz val="9"/>
        <rFont val="Noto Sans CJK SC"/>
        <family val="2"/>
      </rPr>
      <t xml:space="preserve">파일전송</t>
    </r>
  </si>
  <si>
    <t xml:space="preserve">수집 주기</t>
  </si>
  <si>
    <t xml:space="preserve">ingest_cycle_cd</t>
  </si>
  <si>
    <r>
      <rPr>
        <sz val="9"/>
        <rFont val="Arial"/>
        <family val="0"/>
        <charset val="1"/>
      </rPr>
      <t xml:space="preserve">RT </t>
    </r>
    <r>
      <rPr>
        <sz val="9"/>
        <rFont val="Noto Sans CJK SC"/>
        <family val="2"/>
      </rPr>
      <t xml:space="preserve">실시간 </t>
    </r>
    <r>
      <rPr>
        <sz val="9"/>
        <rFont val="Arial"/>
        <family val="0"/>
        <charset val="1"/>
      </rPr>
      <t xml:space="preserve">/ HR </t>
    </r>
    <r>
      <rPr>
        <sz val="9"/>
        <rFont val="Noto Sans CJK SC"/>
        <family val="2"/>
      </rPr>
      <t xml:space="preserve">시간 </t>
    </r>
    <r>
      <rPr>
        <sz val="9"/>
        <rFont val="Arial"/>
        <family val="0"/>
        <charset val="1"/>
      </rPr>
      <t xml:space="preserve">/ DY 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/ WK </t>
    </r>
    <r>
      <rPr>
        <sz val="9"/>
        <rFont val="Noto Sans CJK SC"/>
        <family val="2"/>
      </rPr>
      <t xml:space="preserve">주</t>
    </r>
  </si>
  <si>
    <r>
      <rPr>
        <b val="true"/>
        <sz val="9"/>
        <rFont val="Noto Sans CJK SC"/>
        <family val="2"/>
      </rPr>
      <t xml:space="preserve">실시간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비실시간</t>
    </r>
  </si>
  <si>
    <t xml:space="preserve">realtime_yn</t>
  </si>
  <si>
    <r>
      <rPr>
        <sz val="9"/>
        <rFont val="Noto Sans CJK SC"/>
        <family val="2"/>
      </rPr>
      <t xml:space="preserve">수집 주기로부터 판정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</si>
  <si>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전송 실패 재처리</t>
  </si>
  <si>
    <t xml:space="preserve">retry_cnt</t>
  </si>
  <si>
    <t xml:space="preserve">전송 실패 후 재시도 횟수</t>
  </si>
  <si>
    <t xml:space="preserve">원천 변경 감지</t>
  </si>
  <si>
    <t xml:space="preserve">source_change_dt</t>
  </si>
  <si>
    <r>
      <rPr>
        <sz val="9"/>
        <rFont val="Noto Sans CJK SC"/>
        <family val="2"/>
      </rPr>
      <t xml:space="preserve">원천 스키마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코드 변경 감지 시각</t>
    </r>
  </si>
  <si>
    <r>
      <rPr>
        <sz val="9"/>
        <rFont val="Noto Sans CJK SC"/>
        <family val="2"/>
      </rPr>
      <t xml:space="preserve">표준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코드</t>
    </r>
  </si>
  <si>
    <r>
      <rPr>
        <b val="true"/>
        <sz val="9"/>
        <rFont val="Noto Sans CJK SC"/>
        <family val="2"/>
      </rPr>
      <t xml:space="preserve">진단명 표준</t>
    </r>
    <r>
      <rPr>
        <b val="true"/>
        <sz val="9"/>
        <rFont val="Arial"/>
        <family val="0"/>
        <charset val="1"/>
      </rPr>
      <t xml:space="preserve">(VeNom)</t>
    </r>
  </si>
  <si>
    <t xml:space="preserve">venom_dx_cd</t>
  </si>
  <si>
    <r>
      <rPr>
        <sz val="9"/>
        <rFont val="Noto Sans CJK SC"/>
        <family val="2"/>
      </rPr>
      <t xml:space="preserve">수의 진단명 표준 코드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참조 테이블</t>
    </r>
    <r>
      <rPr>
        <sz val="9"/>
        <rFont val="Arial"/>
        <family val="0"/>
        <charset val="1"/>
      </rPr>
      <t xml:space="preserve">)</t>
    </r>
  </si>
  <si>
    <t xml:space="preserve">약물 코드 체계</t>
  </si>
  <si>
    <t xml:space="preserve">drug_code_std</t>
  </si>
  <si>
    <r>
      <rPr>
        <sz val="9"/>
        <rFont val="Noto Sans CJK SC"/>
        <family val="2"/>
      </rPr>
      <t xml:space="preserve">동물용의약품 코드 표준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참조 테이블</t>
    </r>
    <r>
      <rPr>
        <sz val="9"/>
        <rFont val="Arial"/>
        <family val="0"/>
        <charset val="1"/>
      </rPr>
      <t xml:space="preserve">)</t>
    </r>
  </si>
  <si>
    <t xml:space="preserve">검사 항목 코드</t>
  </si>
  <si>
    <t xml:space="preserve">lab_item_cd_master</t>
  </si>
  <si>
    <r>
      <rPr>
        <sz val="9"/>
        <rFont val="Noto Sans CJK SC"/>
        <family val="2"/>
      </rPr>
      <t xml:space="preserve">검사 항목 표준 코드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참조 테이블</t>
    </r>
    <r>
      <rPr>
        <sz val="9"/>
        <rFont val="Arial"/>
        <family val="0"/>
        <charset val="1"/>
      </rPr>
      <t xml:space="preserve">)</t>
    </r>
  </si>
  <si>
    <t xml:space="preserve">단위 표준화</t>
  </si>
  <si>
    <t xml:space="preserve">unit_std_map</t>
  </si>
  <si>
    <t xml:space="preserve">장비 단위 → 표준 단위 변환 테이블</t>
  </si>
  <si>
    <r>
      <rPr>
        <b val="true"/>
        <sz val="9"/>
        <rFont val="Noto Sans CJK SC"/>
        <family val="2"/>
      </rPr>
      <t xml:space="preserve">축종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품종 코드</t>
    </r>
  </si>
  <si>
    <t xml:space="preserve">species_breed_master</t>
  </si>
  <si>
    <r>
      <rPr>
        <sz val="9"/>
        <rFont val="Noto Sans CJK SC"/>
        <family val="2"/>
      </rPr>
      <t xml:space="preserve">축종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품종 표준 코드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참조 테이블</t>
    </r>
    <r>
      <rPr>
        <sz val="9"/>
        <rFont val="Arial"/>
        <family val="0"/>
        <charset val="1"/>
      </rPr>
      <t xml:space="preserve">)</t>
    </r>
  </si>
  <si>
    <t xml:space="preserve">매핑 테이블 관리</t>
  </si>
  <si>
    <r>
      <rPr>
        <sz val="9"/>
        <rFont val="Noto Sans CJK SC"/>
        <family val="2"/>
      </rPr>
      <t xml:space="preserve">코드 매핑 테이블 버전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승인 절차 — 거버넌스 규정</t>
    </r>
  </si>
  <si>
    <t xml:space="preserve">시점 정합</t>
  </si>
  <si>
    <t xml:space="preserve">이벤트 타임스탬프</t>
  </si>
  <si>
    <t xml:space="preserve">event_dt</t>
  </si>
  <si>
    <t xml:space="preserve">모든 원천 이벤트의 공통 시각 컬럼</t>
  </si>
  <si>
    <r>
      <rPr>
        <b val="true"/>
        <sz val="9"/>
        <rFont val="Noto Sans CJK SC"/>
        <family val="2"/>
      </rPr>
      <t xml:space="preserve">시간대</t>
    </r>
    <r>
      <rPr>
        <b val="true"/>
        <sz val="9"/>
        <rFont val="Arial"/>
        <family val="0"/>
        <charset val="1"/>
      </rPr>
      <t xml:space="preserve">(TZ) </t>
    </r>
    <r>
      <rPr>
        <b val="true"/>
        <sz val="9"/>
        <rFont val="Noto Sans CJK SC"/>
        <family val="2"/>
      </rPr>
      <t xml:space="preserve">통일</t>
    </r>
  </si>
  <si>
    <r>
      <rPr>
        <sz val="9"/>
        <rFont val="Noto Sans CJK SC"/>
        <family val="2"/>
      </rPr>
      <t xml:space="preserve">전 원천 </t>
    </r>
    <r>
      <rPr>
        <sz val="9"/>
        <rFont val="Arial"/>
        <family val="0"/>
        <charset val="1"/>
      </rPr>
      <t xml:space="preserve">KST </t>
    </r>
    <r>
      <rPr>
        <sz val="9"/>
        <rFont val="Noto Sans CJK SC"/>
        <family val="2"/>
      </rPr>
      <t xml:space="preserve">기준 저장 — 적재 규칙으로 통일</t>
    </r>
  </si>
  <si>
    <t xml:space="preserve">검사–영상 시간차</t>
  </si>
  <si>
    <t xml:space="preserve">lab_img_gap_min</t>
  </si>
  <si>
    <r>
      <rPr>
        <sz val="9"/>
        <rFont val="Noto Sans CJK SC"/>
        <family val="2"/>
      </rPr>
      <t xml:space="preserve">검사와 영상 촬영 간 시간차 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</si>
  <si>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에피소드 정의</t>
  </si>
  <si>
    <t xml:space="preserve">episode_id</t>
  </si>
  <si>
    <r>
      <rPr>
        <sz val="9"/>
        <rFont val="Noto Sans CJK SC"/>
        <family val="2"/>
      </rPr>
      <t xml:space="preserve">동일 진료 건으로 묶는 에피소드 키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</si>
  <si>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내원 단위 묶음</t>
  </si>
  <si>
    <t xml:space="preserve">visit_group_id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</si>
  <si>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회 내원 단위 묶음 키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</si>
  <si>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순서 역전 처리</t>
  </si>
  <si>
    <t xml:space="preserve">seq_reverse_flag</t>
  </si>
  <si>
    <r>
      <rPr>
        <sz val="9"/>
        <rFont val="Noto Sans CJK SC"/>
        <family val="2"/>
      </rPr>
      <t xml:space="preserve">시각 역전 레코드 검출 플래그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</si>
  <si>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품질 지표</t>
  </si>
  <si>
    <t xml:space="preserve">결측률</t>
  </si>
  <si>
    <t xml:space="preserve">missing_rate</t>
  </si>
  <si>
    <r>
      <rPr>
        <sz val="9"/>
        <rFont val="Noto Sans CJK SC"/>
        <family val="2"/>
      </rPr>
      <t xml:space="preserve">테이블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컬럼별 결측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품질 지표</t>
    </r>
    <r>
      <rPr>
        <sz val="9"/>
        <rFont val="Arial"/>
        <family val="0"/>
        <charset val="1"/>
      </rPr>
      <t xml:space="preserve">)</t>
    </r>
  </si>
  <si>
    <t xml:space="preserve">이상치 비율</t>
  </si>
  <si>
    <t xml:space="preserve">outlier_rate</t>
  </si>
  <si>
    <r>
      <rPr>
        <sz val="9"/>
        <rFont val="Noto Sans CJK SC"/>
        <family val="2"/>
      </rPr>
      <t xml:space="preserve">규칙 기반 이상치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품질 지표</t>
    </r>
    <r>
      <rPr>
        <sz val="9"/>
        <rFont val="Arial"/>
        <family val="0"/>
        <charset val="1"/>
      </rPr>
      <t xml:space="preserve">)</t>
    </r>
  </si>
  <si>
    <t xml:space="preserve">중복 레코드</t>
  </si>
  <si>
    <t xml:space="preserve">dup_record_cnt</t>
  </si>
  <si>
    <r>
      <rPr>
        <sz val="9"/>
        <rFont val="Noto Sans CJK SC"/>
        <family val="2"/>
      </rPr>
      <t xml:space="preserve">동일 키 중복 건수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품질 지표</t>
    </r>
    <r>
      <rPr>
        <sz val="9"/>
        <rFont val="Arial"/>
        <family val="0"/>
        <charset val="1"/>
      </rPr>
      <t xml:space="preserve">)</t>
    </r>
  </si>
  <si>
    <t xml:space="preserve">freetext_rate_all</t>
  </si>
  <si>
    <r>
      <rPr>
        <sz val="9"/>
        <rFont val="Noto Sans CJK SC"/>
        <family val="2"/>
      </rPr>
      <t xml:space="preserve">전체 원천 기준 자유입력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품질 지표</t>
    </r>
    <r>
      <rPr>
        <sz val="9"/>
        <rFont val="Arial"/>
        <family val="0"/>
        <charset val="1"/>
      </rPr>
      <t xml:space="preserve">)</t>
    </r>
  </si>
  <si>
    <t xml:space="preserve">라벨 일치도</t>
  </si>
  <si>
    <t xml:space="preserve">label_agreement</t>
  </si>
  <si>
    <r>
      <rPr>
        <sz val="9"/>
        <rFont val="Noto Sans CJK SC"/>
        <family val="2"/>
      </rPr>
      <t xml:space="preserve">판독자 간 라벨 일치율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품질 지표</t>
    </r>
    <r>
      <rPr>
        <sz val="9"/>
        <rFont val="Arial"/>
        <family val="0"/>
        <charset val="1"/>
      </rPr>
      <t xml:space="preserve">)</t>
    </r>
  </si>
  <si>
    <t xml:space="preserve">품질 스코어카드</t>
  </si>
  <si>
    <t xml:space="preserve">quality_score</t>
  </si>
  <si>
    <t xml:space="preserve">DECIMAL(4,2)</t>
  </si>
  <si>
    <r>
      <rPr>
        <sz val="9"/>
        <rFont val="Noto Sans CJK SC"/>
        <family val="2"/>
      </rPr>
      <t xml:space="preserve">결측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이상치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중복 가중 합산 점수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</si>
  <si>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비식별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보안</t>
    </r>
  </si>
  <si>
    <t xml:space="preserve">개인식별정보 제거</t>
  </si>
  <si>
    <t xml:space="preserve">pii_removed_yn</t>
  </si>
  <si>
    <r>
      <rPr>
        <b val="true"/>
        <sz val="9"/>
        <rFont val="Arial"/>
        <family val="0"/>
        <charset val="1"/>
      </rPr>
      <t xml:space="preserve">DICOM </t>
    </r>
    <r>
      <rPr>
        <b val="true"/>
        <sz val="9"/>
        <rFont val="Noto Sans CJK SC"/>
        <family val="2"/>
      </rPr>
      <t xml:space="preserve">태그 삭제</t>
    </r>
  </si>
  <si>
    <t xml:space="preserve">dicom_tag_scrub_yn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</si>
  <si>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환자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보호자 태그 삭제 완료 여부</t>
    </r>
  </si>
  <si>
    <t xml:space="preserve">가명처리 기법</t>
  </si>
  <si>
    <t xml:space="preserve">pseudonym_method_cd</t>
  </si>
  <si>
    <r>
      <rPr>
        <sz val="9"/>
        <rFont val="Arial"/>
        <family val="0"/>
        <charset val="1"/>
      </rPr>
      <t xml:space="preserve">HS </t>
    </r>
    <r>
      <rPr>
        <sz val="9"/>
        <rFont val="Noto Sans CJK SC"/>
        <family val="2"/>
      </rPr>
      <t xml:space="preserve">해시 </t>
    </r>
    <r>
      <rPr>
        <sz val="9"/>
        <rFont val="Arial"/>
        <family val="0"/>
        <charset val="1"/>
      </rPr>
      <t xml:space="preserve">/ MK </t>
    </r>
    <r>
      <rPr>
        <sz val="9"/>
        <rFont val="Noto Sans CJK SC"/>
        <family val="2"/>
      </rPr>
      <t xml:space="preserve">마스킹 </t>
    </r>
    <r>
      <rPr>
        <sz val="9"/>
        <rFont val="Arial"/>
        <family val="0"/>
        <charset val="1"/>
      </rPr>
      <t xml:space="preserve">/ TK </t>
    </r>
    <r>
      <rPr>
        <sz val="9"/>
        <rFont val="Noto Sans CJK SC"/>
        <family val="2"/>
      </rPr>
      <t xml:space="preserve">토큰화</t>
    </r>
  </si>
  <si>
    <t xml:space="preserve">재식별 위험 평가</t>
  </si>
  <si>
    <t xml:space="preserve">reid_risk_score</t>
  </si>
  <si>
    <t xml:space="preserve">재식별 위험도 평가 점수</t>
  </si>
  <si>
    <r>
      <rPr>
        <b val="true"/>
        <sz val="9"/>
        <rFont val="Noto Sans CJK SC"/>
        <family val="2"/>
      </rPr>
      <t xml:space="preserve">암호화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접근통제</t>
    </r>
  </si>
  <si>
    <r>
      <rPr>
        <sz val="9"/>
        <rFont val="Noto Sans CJK SC"/>
        <family val="2"/>
      </rPr>
      <t xml:space="preserve">저장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전송 암호화 및 권한 통제 — 보안 정책서</t>
    </r>
  </si>
  <si>
    <t xml:space="preserve">반출 통제</t>
  </si>
  <si>
    <t xml:space="preserve">export_allowed_yn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</si>
  <si>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외부 반출 허용 여부</t>
    </r>
  </si>
  <si>
    <r>
      <rPr>
        <sz val="9"/>
        <rFont val="Noto Sans CJK SC"/>
        <family val="2"/>
      </rPr>
      <t xml:space="preserve">법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제도</t>
    </r>
  </si>
  <si>
    <t xml:space="preserve">수의사법 진단 주체</t>
  </si>
  <si>
    <r>
      <rPr>
        <sz val="9"/>
        <rFont val="Noto Sans CJK SC"/>
        <family val="2"/>
      </rPr>
      <t xml:space="preserve">진단 주체는 수의사 — 설계 준거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조</t>
    </r>
    <r>
      <rPr>
        <sz val="9"/>
        <rFont val="Arial"/>
        <family val="0"/>
        <charset val="1"/>
      </rPr>
      <t xml:space="preserve">)</t>
    </r>
  </si>
  <si>
    <t xml:space="preserve">개인정보보호법</t>
  </si>
  <si>
    <r>
      <rPr>
        <sz val="9"/>
        <rFont val="Noto Sans CJK SC"/>
        <family val="2"/>
      </rPr>
      <t xml:space="preserve">수집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이용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제공 동의 요건 — 설계 준거</t>
    </r>
  </si>
  <si>
    <t xml:space="preserve">동물보호법</t>
  </si>
  <si>
    <t xml:space="preserve">동물등록 정보 취급 요건 — 설계 준거</t>
  </si>
  <si>
    <t xml:space="preserve">의료기기 해당 여부</t>
  </si>
  <si>
    <r>
      <rPr>
        <sz val="9"/>
        <rFont val="Arial"/>
        <family val="0"/>
        <charset val="1"/>
      </rPr>
      <t xml:space="preserve">SaMD </t>
    </r>
    <r>
      <rPr>
        <sz val="9"/>
        <rFont val="Noto Sans CJK SC"/>
        <family val="2"/>
      </rPr>
      <t xml:space="preserve">해당 여부 판정 — 허가 전략 문서</t>
    </r>
  </si>
  <si>
    <r>
      <rPr>
        <b val="true"/>
        <sz val="9"/>
        <rFont val="Noto Sans CJK SC"/>
        <family val="2"/>
      </rPr>
      <t xml:space="preserve">광고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표현 규제</t>
    </r>
  </si>
  <si>
    <r>
      <rPr>
        <sz val="9"/>
        <rFont val="Noto Sans CJK SC"/>
        <family val="2"/>
      </rPr>
      <t xml:space="preserve">확정 진단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효능 표현 금지 — 카피 가이드</t>
    </r>
  </si>
  <si>
    <t xml:space="preserve">데이터 제공 계약</t>
  </si>
  <si>
    <t xml:space="preserve">data_contract_id</t>
  </si>
  <si>
    <t xml:space="preserve">병원별 데이터 제공 계약 식별자</t>
  </si>
  <si>
    <r>
      <rPr>
        <sz val="9"/>
        <rFont val="Noto Sans CJK SC"/>
        <family val="2"/>
      </rPr>
      <t xml:space="preserve">저장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운영</t>
    </r>
  </si>
  <si>
    <r>
      <rPr>
        <b val="true"/>
        <sz val="9"/>
        <rFont val="Arial"/>
        <family val="0"/>
        <charset val="1"/>
      </rPr>
      <t xml:space="preserve">Raw · Curated </t>
    </r>
    <r>
      <rPr>
        <b val="true"/>
        <sz val="9"/>
        <rFont val="Noto Sans CJK SC"/>
        <family val="2"/>
      </rPr>
      <t xml:space="preserve">구조</t>
    </r>
  </si>
  <si>
    <r>
      <rPr>
        <sz val="9"/>
        <rFont val="Noto Sans CJK SC"/>
        <family val="2"/>
      </rPr>
      <t xml:space="preserve">원본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정제 영역 분리 — 스토리지 아키텍처 문서</t>
    </r>
  </si>
  <si>
    <t xml:space="preserve">data_retention_months</t>
  </si>
  <si>
    <r>
      <rPr>
        <sz val="9"/>
        <rFont val="Noto Sans CJK SC"/>
        <family val="2"/>
      </rPr>
      <t xml:space="preserve">데이터 영역별 보존 개월 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정책값</t>
    </r>
    <r>
      <rPr>
        <sz val="9"/>
        <rFont val="Arial"/>
        <family val="0"/>
        <charset val="1"/>
      </rPr>
      <t xml:space="preserve">)</t>
    </r>
  </si>
  <si>
    <t xml:space="preserve">버전 관리</t>
  </si>
  <si>
    <t xml:space="preserve">dataset_ver</t>
  </si>
  <si>
    <r>
      <rPr>
        <sz val="9"/>
        <rFont val="Noto Sans CJK SC"/>
        <family val="2"/>
      </rPr>
      <t xml:space="preserve">데이터셋 버전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학습 재현성의 기준</t>
    </r>
  </si>
  <si>
    <t xml:space="preserve">데이터 계보</t>
  </si>
  <si>
    <t xml:space="preserve">lineage_json</t>
  </si>
  <si>
    <t xml:space="preserve">원천 → 가공 → 산출 경로 기록</t>
  </si>
  <si>
    <r>
      <rPr>
        <b val="true"/>
        <sz val="9"/>
        <rFont val="Noto Sans CJK SC"/>
        <family val="2"/>
      </rPr>
      <t xml:space="preserve">카탈로그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사전</t>
    </r>
  </si>
  <si>
    <r>
      <rPr>
        <sz val="9"/>
        <rFont val="Noto Sans CJK SC"/>
        <family val="2"/>
      </rPr>
      <t xml:space="preserve">데이터 카탈로그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용어 사전 — 본 변수 정의서로 관리</t>
    </r>
  </si>
  <si>
    <t xml:space="preserve">저장 비용</t>
  </si>
  <si>
    <t xml:space="preserve">storage_cost_amt</t>
  </si>
  <si>
    <r>
      <rPr>
        <sz val="9"/>
        <rFont val="Noto Sans CJK SC"/>
        <family val="2"/>
      </rPr>
      <t xml:space="preserve">영역별 월 저장 비용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 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</si>
  <si>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접근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조직</t>
    </r>
  </si>
  <si>
    <t xml:space="preserve">역할별 권한</t>
  </si>
  <si>
    <t xml:space="preserve">role_cd</t>
  </si>
  <si>
    <r>
      <rPr>
        <sz val="9"/>
        <rFont val="Noto Sans CJK SC"/>
        <family val="2"/>
      </rPr>
      <t xml:space="preserve">조회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수정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반출 권한 역할 코드</t>
    </r>
  </si>
  <si>
    <t xml:space="preserve">사업부 간 공유 범위</t>
  </si>
  <si>
    <t xml:space="preserve">사업부 간 데이터 공유 범위 — 거버넌스 합의서</t>
  </si>
  <si>
    <t xml:space="preserve">데이터 오너십</t>
  </si>
  <si>
    <t xml:space="preserve">data_owner_id</t>
  </si>
  <si>
    <t xml:space="preserve">데이터 영역별 책임자</t>
  </si>
  <si>
    <t xml:space="preserve">심의 절차</t>
  </si>
  <si>
    <t xml:space="preserve">데이터 활용 심의 절차 — 거버넌스 규정</t>
  </si>
  <si>
    <t xml:space="preserve">감사 로그</t>
  </si>
  <si>
    <t xml:space="preserve">access_audit_log</t>
  </si>
  <si>
    <r>
      <rPr>
        <sz val="9"/>
        <rFont val="Noto Sans CJK SC"/>
        <family val="2"/>
      </rPr>
      <t xml:space="preserve">데이터 접근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반출 감사 로그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거버넌스</t>
    </r>
    <r>
      <rPr>
        <sz val="9"/>
        <rFont val="Arial"/>
        <family val="0"/>
        <charset val="1"/>
      </rPr>
      <t xml:space="preserve">)</t>
    </r>
  </si>
  <si>
    <t xml:space="preserve">사고 대응 절차</t>
  </si>
  <si>
    <r>
      <rPr>
        <sz val="9"/>
        <rFont val="Noto Sans CJK SC"/>
        <family val="2"/>
      </rPr>
      <t xml:space="preserve">유출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장애 대응 절차 — 보안 운영 매뉴얼</t>
    </r>
  </si>
  <si>
    <t xml:space="preserve">⑦</t>
  </si>
  <si>
    <r>
      <rPr>
        <sz val="9"/>
        <rFont val="Noto Sans CJK SC"/>
        <family val="2"/>
      </rPr>
      <t xml:space="preserve">멀티모달 </t>
    </r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학습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판독</t>
    </r>
  </si>
  <si>
    <t xml:space="preserve">학습 데이터셋</t>
  </si>
  <si>
    <t xml:space="preserve">총 케이스 수</t>
  </si>
  <si>
    <t xml:space="preserve">dataset_case_cnt</t>
  </si>
  <si>
    <r>
      <rPr>
        <sz val="9"/>
        <rFont val="Noto Sans CJK SC"/>
        <family val="2"/>
      </rPr>
      <t xml:space="preserve">학습 데이터셋 총 케이스 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</si>
  <si>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축종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품종 분포</t>
    </r>
  </si>
  <si>
    <t xml:space="preserve">species_dist_json</t>
  </si>
  <si>
    <r>
      <rPr>
        <sz val="9"/>
        <rFont val="Noto Sans CJK SC"/>
        <family val="2"/>
      </rPr>
      <t xml:space="preserve">축종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품종별 구성비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편향 점검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</si>
  <si>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질환별 분포</t>
  </si>
  <si>
    <t xml:space="preserve">disease_dist_json</t>
  </si>
  <si>
    <r>
      <rPr>
        <sz val="9"/>
        <rFont val="Noto Sans CJK SC"/>
        <family val="2"/>
      </rPr>
      <t xml:space="preserve">질환 클래스별 구성비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</si>
  <si>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정상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이상 비율</t>
    </r>
  </si>
  <si>
    <t xml:space="preserve">normal_abnormal_ratio</t>
  </si>
  <si>
    <r>
      <rPr>
        <sz val="9"/>
        <rFont val="Noto Sans CJK SC"/>
        <family val="2"/>
      </rPr>
      <t xml:space="preserve">정상 대 이상 케이스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</si>
  <si>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학습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검증 분할</t>
    </r>
  </si>
  <si>
    <t xml:space="preserve">split_cd</t>
  </si>
  <si>
    <r>
      <rPr>
        <sz val="9"/>
        <rFont val="Arial"/>
        <family val="0"/>
        <charset val="1"/>
      </rPr>
      <t xml:space="preserve">TR </t>
    </r>
    <r>
      <rPr>
        <sz val="9"/>
        <rFont val="Noto Sans CJK SC"/>
        <family val="2"/>
      </rPr>
      <t xml:space="preserve">학습 </t>
    </r>
    <r>
      <rPr>
        <sz val="9"/>
        <rFont val="Arial"/>
        <family val="0"/>
        <charset val="1"/>
      </rPr>
      <t xml:space="preserve">/ VA </t>
    </r>
    <r>
      <rPr>
        <sz val="9"/>
        <rFont val="Noto Sans CJK SC"/>
        <family val="2"/>
      </rPr>
      <t xml:space="preserve">검증 </t>
    </r>
    <r>
      <rPr>
        <sz val="9"/>
        <rFont val="Arial"/>
        <family val="0"/>
        <charset val="1"/>
      </rPr>
      <t xml:space="preserve">/ TE </t>
    </r>
    <r>
      <rPr>
        <sz val="9"/>
        <rFont val="Noto Sans CJK SC"/>
        <family val="2"/>
      </rPr>
      <t xml:space="preserve">시험</t>
    </r>
  </si>
  <si>
    <t xml:space="preserve">병원 간 분할</t>
  </si>
  <si>
    <t xml:space="preserve">split_hospital_cd</t>
  </si>
  <si>
    <r>
      <rPr>
        <sz val="9"/>
        <rFont val="Noto Sans CJK SC"/>
        <family val="2"/>
      </rPr>
      <t xml:space="preserve">병원 단위 분할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데이터 누수 방지</t>
    </r>
  </si>
  <si>
    <r>
      <rPr>
        <sz val="9"/>
        <rFont val="Noto Sans CJK SC"/>
        <family val="2"/>
      </rPr>
      <t xml:space="preserve">라벨링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정답</t>
    </r>
  </si>
  <si>
    <t xml:space="preserve">병변 클래스 정의</t>
  </si>
  <si>
    <t xml:space="preserve">lesion_class_cd</t>
  </si>
  <si>
    <r>
      <rPr>
        <sz val="9"/>
        <rFont val="Noto Sans CJK SC"/>
        <family val="2"/>
      </rPr>
      <t xml:space="preserve">병변 분류 체계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참조 테이블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</si>
  <si>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박스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분할 마스크</t>
    </r>
  </si>
  <si>
    <t xml:space="preserve">annotation_path</t>
  </si>
  <si>
    <r>
      <rPr>
        <sz val="9"/>
        <rFont val="Noto Sans CJK SC"/>
        <family val="2"/>
      </rPr>
      <t xml:space="preserve">바운딩박스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세그멘테이션 마스크 파일 경로</t>
    </r>
  </si>
  <si>
    <t xml:space="preserve">라벨링 가이드</t>
  </si>
  <si>
    <r>
      <rPr>
        <sz val="9"/>
        <rFont val="Noto Sans CJK SC"/>
        <family val="2"/>
      </rPr>
      <t xml:space="preserve">라벨링 기준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예시 — 어노테이션 가이드 문서</t>
    </r>
  </si>
  <si>
    <r>
      <rPr>
        <b val="true"/>
        <sz val="9"/>
        <rFont val="Noto Sans CJK SC"/>
        <family val="2"/>
      </rPr>
      <t xml:space="preserve">전문의 검증</t>
    </r>
    <r>
      <rPr>
        <b val="true"/>
        <sz val="9"/>
        <rFont val="Arial"/>
        <family val="0"/>
        <charset val="1"/>
      </rPr>
      <t xml:space="preserve">(GT)</t>
    </r>
  </si>
  <si>
    <t xml:space="preserve">gt_verified_yn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</si>
  <si>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전문의 검증 완료 라벨만 정답 사용</t>
    </r>
  </si>
  <si>
    <t xml:space="preserve">판독자 간 일치도</t>
  </si>
  <si>
    <t xml:space="preserve">inter_rater_kappa</t>
  </si>
  <si>
    <r>
      <rPr>
        <sz val="9"/>
        <rFont val="Noto Sans CJK SC"/>
        <family val="2"/>
      </rPr>
      <t xml:space="preserve">판독자 간 카파 계수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</si>
  <si>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라벨 버전</t>
  </si>
  <si>
    <t xml:space="preserve">label_ver</t>
  </si>
  <si>
    <r>
      <rPr>
        <sz val="9"/>
        <rFont val="Noto Sans CJK SC"/>
        <family val="2"/>
      </rPr>
      <t xml:space="preserve">라벨 스키마 버전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재학습 재현성</t>
    </r>
  </si>
  <si>
    <t xml:space="preserve">모달리티 결합</t>
  </si>
  <si>
    <t xml:space="preserve">영상 임베딩</t>
  </si>
  <si>
    <t xml:space="preserve">img_embedding</t>
  </si>
  <si>
    <t xml:space="preserve">BLOB</t>
  </si>
  <si>
    <t xml:space="preserve">영상 인코더 출력 벡터</t>
  </si>
  <si>
    <t xml:space="preserve">수치 정규화</t>
  </si>
  <si>
    <t xml:space="preserve">검사 수치 스케일링 규칙 — 전처리 명세</t>
  </si>
  <si>
    <t xml:space="preserve">투약 이력 인코딩</t>
  </si>
  <si>
    <t xml:space="preserve">처방 시퀀스 인코딩 방식 — 전처리 명세</t>
  </si>
  <si>
    <t xml:space="preserve">결측 처리 규칙</t>
  </si>
  <si>
    <t xml:space="preserve">모달리티별 결측 대체 규칙 — 전처리 명세</t>
  </si>
  <si>
    <t xml:space="preserve">시계열 윈도우</t>
  </si>
  <si>
    <t xml:space="preserve">window_hours</t>
  </si>
  <si>
    <r>
      <rPr>
        <sz val="9"/>
        <rFont val="Noto Sans CJK SC"/>
        <family val="2"/>
      </rPr>
      <t xml:space="preserve">결합 대상 시계열 구간 길이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시간</t>
    </r>
    <r>
      <rPr>
        <sz val="9"/>
        <rFont val="Arial"/>
        <family val="0"/>
        <charset val="1"/>
      </rPr>
      <t xml:space="preserve">)</t>
    </r>
  </si>
  <si>
    <t xml:space="preserve">모달리티 누락 대응</t>
  </si>
  <si>
    <t xml:space="preserve">modality_missing_cd</t>
  </si>
  <si>
    <r>
      <rPr>
        <sz val="9"/>
        <rFont val="Noto Sans CJK SC"/>
        <family val="2"/>
      </rPr>
      <t xml:space="preserve">누락 모달리티 조합 코드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추론 분기</t>
    </r>
  </si>
  <si>
    <r>
      <rPr>
        <sz val="9"/>
        <rFont val="Noto Sans CJK SC"/>
        <family val="2"/>
      </rPr>
      <t xml:space="preserve">모델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추론</t>
    </r>
  </si>
  <si>
    <r>
      <rPr>
        <b val="true"/>
        <sz val="9"/>
        <rFont val="Noto Sans CJK SC"/>
        <family val="2"/>
      </rPr>
      <t xml:space="preserve">모델 구조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버전</t>
    </r>
  </si>
  <si>
    <t xml:space="preserve">model_ver</t>
  </si>
  <si>
    <r>
      <rPr>
        <sz val="9"/>
        <rFont val="Noto Sans CJK SC"/>
        <family val="2"/>
      </rPr>
      <t xml:space="preserve">추론 시점 모델 버전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성능 추적의 기준</t>
    </r>
  </si>
  <si>
    <t xml:space="preserve">추론 소요 시간</t>
  </si>
  <si>
    <t xml:space="preserve">infer_ms</t>
  </si>
  <si>
    <r>
      <rPr>
        <sz val="9"/>
        <rFont val="Noto Sans CJK SC"/>
        <family val="2"/>
      </rPr>
      <t xml:space="preserve">추론 소요 밀리초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응답 속도 </t>
    </r>
    <r>
      <rPr>
        <sz val="9"/>
        <rFont val="Arial"/>
        <family val="0"/>
        <charset val="1"/>
      </rPr>
      <t xml:space="preserve">SLA </t>
    </r>
    <r>
      <rPr>
        <sz val="9"/>
        <rFont val="Noto Sans CJK SC"/>
        <family val="2"/>
      </rPr>
      <t xml:space="preserve">지표</t>
    </r>
  </si>
  <si>
    <t xml:space="preserve">병변 검출 결과</t>
  </si>
  <si>
    <t xml:space="preserve">ai_finding_cd</t>
  </si>
  <si>
    <r>
      <rPr>
        <sz val="9"/>
        <rFont val="Noto Sans CJK SC"/>
        <family val="2"/>
      </rPr>
      <t xml:space="preserve">검출 병변 분류 코드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다중 검출 시 복수 행</t>
    </r>
  </si>
  <si>
    <t xml:space="preserve">감별진단 후보</t>
  </si>
  <si>
    <t xml:space="preserve">ddx_rank_json</t>
  </si>
  <si>
    <t xml:space="preserve">감별진단 후보와 순위</t>
  </si>
  <si>
    <t xml:space="preserve">신뢰도 점수</t>
  </si>
  <si>
    <t xml:space="preserve">ai_confidence</t>
  </si>
  <si>
    <r>
      <rPr>
        <sz val="9"/>
        <rFont val="Arial"/>
        <family val="0"/>
        <charset val="1"/>
      </rPr>
      <t xml:space="preserve">0.000~1.000 · </t>
    </r>
    <r>
      <rPr>
        <sz val="9"/>
        <rFont val="Noto Sans CJK SC"/>
        <family val="2"/>
      </rPr>
      <t xml:space="preserve">임계값 미만은 저신뢰 표시</t>
    </r>
  </si>
  <si>
    <r>
      <rPr>
        <b val="true"/>
        <sz val="9"/>
        <rFont val="Noto Sans CJK SC"/>
        <family val="2"/>
      </rPr>
      <t xml:space="preserve">근거 영역</t>
    </r>
    <r>
      <rPr>
        <b val="true"/>
        <sz val="9"/>
        <rFont val="Arial"/>
        <family val="0"/>
        <charset val="1"/>
      </rPr>
      <t xml:space="preserve">(CAM)</t>
    </r>
  </si>
  <si>
    <t xml:space="preserve">cam_map_path</t>
  </si>
  <si>
    <r>
      <rPr>
        <sz val="9"/>
        <rFont val="Noto Sans CJK SC"/>
        <family val="2"/>
      </rPr>
      <t xml:space="preserve">판단 근거 히트맵 경로 </t>
    </r>
    <r>
      <rPr>
        <sz val="9"/>
        <rFont val="Arial"/>
        <family val="0"/>
        <charset val="1"/>
      </rPr>
      <t xml:space="preserve">· XAI </t>
    </r>
    <r>
      <rPr>
        <sz val="9"/>
        <rFont val="Noto Sans CJK SC"/>
        <family val="2"/>
      </rPr>
      <t xml:space="preserve">근거</t>
    </r>
  </si>
  <si>
    <t xml:space="preserve">성능 평가</t>
  </si>
  <si>
    <r>
      <rPr>
        <b val="true"/>
        <sz val="9"/>
        <rFont val="Noto Sans CJK SC"/>
        <family val="2"/>
      </rPr>
      <t xml:space="preserve">민감도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특이도</t>
    </r>
  </si>
  <si>
    <t xml:space="preserve">sensitivity, specificity</t>
  </si>
  <si>
    <t xml:space="preserve">DECIMAL(5,4)</t>
  </si>
  <si>
    <r>
      <rPr>
        <sz val="9"/>
        <rFont val="Noto Sans CJK SC"/>
        <family val="2"/>
      </rPr>
      <t xml:space="preserve">질환별 성능 지표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</si>
  <si>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AUROC</t>
  </si>
  <si>
    <t xml:space="preserve">auroc</t>
  </si>
  <si>
    <r>
      <rPr>
        <sz val="9"/>
        <rFont val="Arial"/>
        <family val="0"/>
        <charset val="1"/>
      </rPr>
      <t xml:space="preserve">ROC </t>
    </r>
    <r>
      <rPr>
        <sz val="9"/>
        <rFont val="Noto Sans CJK SC"/>
        <family val="2"/>
      </rPr>
      <t xml:space="preserve">곡선 하면적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</si>
  <si>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위양성률</t>
  </si>
  <si>
    <t xml:space="preserve">fp_rate</t>
  </si>
  <si>
    <r>
      <rPr>
        <sz val="9"/>
        <rFont val="Noto Sans CJK SC"/>
        <family val="2"/>
      </rPr>
      <t xml:space="preserve">위양성 비율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과잉진료 오해와 직결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</si>
  <si>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질환별 성능</t>
  </si>
  <si>
    <t xml:space="preserve">perf_by_disease_json</t>
  </si>
  <si>
    <r>
      <rPr>
        <sz val="9"/>
        <rFont val="Noto Sans CJK SC"/>
        <family val="2"/>
      </rPr>
      <t xml:space="preserve">질환 클래스별 성능 집합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</si>
  <si>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축종별 성능 편차</t>
  </si>
  <si>
    <t xml:space="preserve">perf_gap_species</t>
  </si>
  <si>
    <r>
      <rPr>
        <sz val="9"/>
        <rFont val="Noto Sans CJK SC"/>
        <family val="2"/>
      </rPr>
      <t xml:space="preserve">축종 간 성능 격차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편향 지표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</si>
  <si>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외부 병원 검증</t>
  </si>
  <si>
    <t xml:space="preserve">external_val_auroc</t>
  </si>
  <si>
    <r>
      <rPr>
        <sz val="9"/>
        <rFont val="Noto Sans CJK SC"/>
        <family val="2"/>
      </rPr>
      <t xml:space="preserve">미학습 병원 데이터 검증 성능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</si>
  <si>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소견문 생성</t>
  </si>
  <si>
    <t xml:space="preserve">문장 템플릿</t>
  </si>
  <si>
    <t xml:space="preserve">report_template_id</t>
  </si>
  <si>
    <r>
      <rPr>
        <sz val="9"/>
        <rFont val="Noto Sans CJK SC"/>
        <family val="2"/>
      </rPr>
      <t xml:space="preserve">소견문 생성 템플릿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참조 테이블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</si>
  <si>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생성 길이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톤</t>
    </r>
  </si>
  <si>
    <t xml:space="preserve">gen_length_cd, gen_tone_cd</t>
  </si>
  <si>
    <r>
      <rPr>
        <sz val="9"/>
        <rFont val="Arial"/>
        <family val="0"/>
        <charset val="1"/>
      </rPr>
      <t xml:space="preserve">S/M/L · </t>
    </r>
    <r>
      <rPr>
        <sz val="9"/>
        <rFont val="Noto Sans CJK SC"/>
        <family val="2"/>
      </rPr>
      <t xml:space="preserve">톤 코드</t>
    </r>
  </si>
  <si>
    <t xml:space="preserve">근거 인용 방식</t>
  </si>
  <si>
    <r>
      <rPr>
        <sz val="9"/>
        <rFont val="Noto Sans CJK SC"/>
        <family val="2"/>
      </rPr>
      <t xml:space="preserve">영상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수치 근거 인용 규칙 — 생성 프롬프트 명세</t>
    </r>
  </si>
  <si>
    <t xml:space="preserve">환각 검출 규칙</t>
  </si>
  <si>
    <t xml:space="preserve">hallucination_flag</t>
  </si>
  <si>
    <r>
      <rPr>
        <sz val="9"/>
        <rFont val="Noto Sans CJK SC"/>
        <family val="2"/>
      </rPr>
      <t xml:space="preserve">근거 미확인 문장 검출 플래그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</si>
  <si>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금칙 표현</t>
  </si>
  <si>
    <t xml:space="preserve">banned_phrase_list</t>
  </si>
  <si>
    <r>
      <rPr>
        <sz val="9"/>
        <rFont val="Noto Sans CJK SC"/>
        <family val="2"/>
      </rPr>
      <t xml:space="preserve">확정 진단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효능 단정 표현 금지 목록</t>
    </r>
  </si>
  <si>
    <t xml:space="preserve">확정 표현 회피</t>
  </si>
  <si>
    <r>
      <rPr>
        <sz val="9"/>
        <rFont val="Arial"/>
        <family val="0"/>
        <charset val="1"/>
      </rPr>
      <t xml:space="preserve">'∼</t>
    </r>
    <r>
      <rPr>
        <sz val="9"/>
        <rFont val="Noto Sans CJK SC"/>
        <family val="2"/>
      </rPr>
      <t xml:space="preserve">로 보입니다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형태 강제 — 생성 규칙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조 대응</t>
    </r>
    <r>
      <rPr>
        <sz val="9"/>
        <rFont val="Arial"/>
        <family val="0"/>
        <charset val="1"/>
      </rPr>
      <t xml:space="preserve">)</t>
    </r>
  </si>
  <si>
    <t xml:space="preserve">피드백 루프</t>
  </si>
  <si>
    <t xml:space="preserve">수의사 수정 로그</t>
  </si>
  <si>
    <t xml:space="preserve">vet_edit_log</t>
  </si>
  <si>
    <t xml:space="preserve">초안 대비 수정 내역 — 재학습 트리거</t>
  </si>
  <si>
    <t xml:space="preserve">반려 사유 코드</t>
  </si>
  <si>
    <t xml:space="preserve">reject_reason_cd</t>
  </si>
  <si>
    <r>
      <rPr>
        <sz val="9"/>
        <rFont val="Noto Sans CJK SC"/>
        <family val="2"/>
      </rPr>
      <t xml:space="preserve">오탐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미탐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표현오류 등</t>
    </r>
  </si>
  <si>
    <r>
      <rPr>
        <b val="true"/>
        <sz val="9"/>
        <rFont val="Noto Sans CJK SC"/>
        <family val="2"/>
      </rPr>
      <t xml:space="preserve">오탐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미탐 케이스</t>
    </r>
  </si>
  <si>
    <t xml:space="preserve">fp_fn_case_id</t>
  </si>
  <si>
    <r>
      <rPr>
        <sz val="9"/>
        <rFont val="Noto Sans CJK SC"/>
        <family val="2"/>
      </rPr>
      <t xml:space="preserve">재학습 우선 투입 케이스 식별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</si>
  <si>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재학습 주기</t>
  </si>
  <si>
    <t xml:space="preserve">retrain_cycle_cd</t>
  </si>
  <si>
    <r>
      <rPr>
        <sz val="9"/>
        <rFont val="Arial"/>
        <family val="0"/>
        <charset val="1"/>
      </rPr>
      <t xml:space="preserve">MO </t>
    </r>
    <r>
      <rPr>
        <sz val="9"/>
        <rFont val="Noto Sans CJK SC"/>
        <family val="2"/>
      </rPr>
      <t xml:space="preserve">월 </t>
    </r>
    <r>
      <rPr>
        <sz val="9"/>
        <rFont val="Arial"/>
        <family val="0"/>
        <charset val="1"/>
      </rPr>
      <t xml:space="preserve">/ QT </t>
    </r>
    <r>
      <rPr>
        <sz val="9"/>
        <rFont val="Noto Sans CJK SC"/>
        <family val="2"/>
      </rPr>
      <t xml:space="preserve">분기 </t>
    </r>
    <r>
      <rPr>
        <sz val="9"/>
        <rFont val="Arial"/>
        <family val="0"/>
        <charset val="1"/>
      </rPr>
      <t xml:space="preserve">/ EV </t>
    </r>
    <r>
      <rPr>
        <sz val="9"/>
        <rFont val="Noto Sans CJK SC"/>
        <family val="2"/>
      </rPr>
      <t xml:space="preserve">이벤트 기반</t>
    </r>
  </si>
  <si>
    <t xml:space="preserve">데이터 증분량</t>
  </si>
  <si>
    <t xml:space="preserve">data_increment_cnt</t>
  </si>
  <si>
    <r>
      <rPr>
        <sz val="9"/>
        <rFont val="Noto Sans CJK SC"/>
        <family val="2"/>
      </rPr>
      <t xml:space="preserve">직전 학습 대비 신규 케이스 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</si>
  <si>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성능 변화 추적</t>
  </si>
  <si>
    <t xml:space="preserve">perf_delta</t>
  </si>
  <si>
    <r>
      <rPr>
        <sz val="9"/>
        <rFont val="Noto Sans CJK SC"/>
        <family val="2"/>
      </rPr>
      <t xml:space="preserve">버전 간 성능 변화폭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</si>
  <si>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운영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리스크</t>
    </r>
  </si>
  <si>
    <t xml:space="preserve">모델 드리프트 감시</t>
  </si>
  <si>
    <t xml:space="preserve">drift_score</t>
  </si>
  <si>
    <r>
      <rPr>
        <sz val="9"/>
        <rFont val="Noto Sans CJK SC"/>
        <family val="2"/>
      </rPr>
      <t xml:space="preserve">입력 분포 변화 지표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</si>
  <si>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롤백 절차</t>
  </si>
  <si>
    <t xml:space="preserve">이전 모델 버전 복구 절차 — 운영 매뉴얼</t>
  </si>
  <si>
    <t xml:space="preserve">저품질 입력 차단</t>
  </si>
  <si>
    <t xml:space="preserve">low_quality_reject_yn</t>
  </si>
  <si>
    <r>
      <rPr>
        <sz val="9"/>
        <rFont val="Noto Sans CJK SC"/>
        <family val="2"/>
      </rPr>
      <t xml:space="preserve">화질 지표 기준 미달 시 차단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</si>
  <si>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판독 불가 반환</t>
  </si>
  <si>
    <t xml:space="preserve">undeterminable_yn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</si>
  <si>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판독 불가 반환 여부</t>
    </r>
  </si>
  <si>
    <t xml:space="preserve">장애 대응</t>
  </si>
  <si>
    <t xml:space="preserve">추론 서버 장애 대응 절차 — 운영 매뉴얼</t>
  </si>
  <si>
    <t xml:space="preserve">모델 카드 기록</t>
  </si>
  <si>
    <t xml:space="preserve">model_card_path</t>
  </si>
  <si>
    <r>
      <rPr>
        <sz val="9"/>
        <rFont val="Noto Sans CJK SC"/>
        <family val="2"/>
      </rPr>
      <t xml:space="preserve">모델 카드 문서 경로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허가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감사 대응</t>
    </r>
  </si>
  <si>
    <t xml:space="preserve">⑧</t>
  </si>
  <si>
    <t xml:space="preserve">수의사용 판독 초안</t>
  </si>
  <si>
    <t xml:space="preserve">초안 구성</t>
  </si>
  <si>
    <t xml:space="preserve">소견 요약문</t>
  </si>
  <si>
    <t xml:space="preserve">draft_summary</t>
  </si>
  <si>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생성 판독 소견 요약</t>
    </r>
  </si>
  <si>
    <t xml:space="preserve">관찰 소견 목록</t>
  </si>
  <si>
    <t xml:space="preserve">draft_finding_json</t>
  </si>
  <si>
    <t xml:space="preserve">관찰 소견 항목 배열</t>
  </si>
  <si>
    <t xml:space="preserve">병변 위치 표기</t>
  </si>
  <si>
    <t xml:space="preserve">draft_lesion_desc</t>
  </si>
  <si>
    <t xml:space="preserve">해부학적 위치 서술</t>
  </si>
  <si>
    <t xml:space="preserve">draft_ddx_json</t>
  </si>
  <si>
    <r>
      <rPr>
        <sz val="9"/>
        <rFont val="Noto Sans CJK SC"/>
        <family val="2"/>
      </rPr>
      <t xml:space="preserve">초안에 표기된 감별진단 목록 </t>
    </r>
    <r>
      <rPr>
        <sz val="9"/>
        <rFont val="Arial"/>
        <family val="0"/>
        <charset val="1"/>
      </rPr>
      <t xml:space="preserve">(⑦ </t>
    </r>
    <r>
      <rPr>
        <sz val="9"/>
        <rFont val="Noto Sans CJK SC"/>
        <family val="2"/>
      </rPr>
      <t xml:space="preserve">추론 결과 인용</t>
    </r>
    <r>
      <rPr>
        <sz val="9"/>
        <rFont val="Arial"/>
        <family val="0"/>
        <charset val="1"/>
      </rPr>
      <t xml:space="preserve">)</t>
    </r>
  </si>
  <si>
    <t xml:space="preserve">추가검사 권고</t>
  </si>
  <si>
    <t xml:space="preserve">recommend_test_cd</t>
  </si>
  <si>
    <r>
      <rPr>
        <sz val="9"/>
        <rFont val="Noto Sans CJK SC"/>
        <family val="2"/>
      </rPr>
      <t xml:space="preserve">권고 추가검사 코드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동의율 산출과 연결</t>
    </r>
  </si>
  <si>
    <t xml:space="preserve">신뢰도 표기</t>
  </si>
  <si>
    <t xml:space="preserve">confidence_label_cd</t>
  </si>
  <si>
    <r>
      <rPr>
        <sz val="9"/>
        <rFont val="Arial"/>
        <family val="0"/>
        <charset val="1"/>
      </rPr>
      <t xml:space="preserve">H / M / L · </t>
    </r>
    <r>
      <rPr>
        <sz val="9"/>
        <rFont val="Noto Sans CJK SC"/>
        <family val="2"/>
      </rPr>
      <t xml:space="preserve">화면 표기용 등급</t>
    </r>
  </si>
  <si>
    <t xml:space="preserve">근거 제시</t>
  </si>
  <si>
    <t xml:space="preserve">영상 오버레이</t>
  </si>
  <si>
    <t xml:space="preserve">overlay_path</t>
  </si>
  <si>
    <t xml:space="preserve">병변 표시 오버레이 이미지 경로</t>
  </si>
  <si>
    <t xml:space="preserve">참조 수치 강조</t>
  </si>
  <si>
    <t xml:space="preserve">highlight_lab_cd</t>
  </si>
  <si>
    <t xml:space="preserve">소견과 연관된 검사 항목 코드 목록</t>
  </si>
  <si>
    <t xml:space="preserve">관련 투약 이력</t>
  </si>
  <si>
    <t xml:space="preserve">related_rx_id</t>
  </si>
  <si>
    <t xml:space="preserve">판독 해석에 영향을 준 처방 건</t>
  </si>
  <si>
    <t xml:space="preserve">유사 증례</t>
  </si>
  <si>
    <t xml:space="preserve">similar_case_id</t>
  </si>
  <si>
    <t xml:space="preserve">유사 증례 케이스 식별자</t>
  </si>
  <si>
    <t xml:space="preserve">판단 근거 문장</t>
  </si>
  <si>
    <t xml:space="preserve">rationale_text</t>
  </si>
  <si>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판단 근거 서술 </t>
    </r>
    <r>
      <rPr>
        <sz val="9"/>
        <rFont val="Arial"/>
        <family val="0"/>
        <charset val="1"/>
      </rPr>
      <t xml:space="preserve">· XAI </t>
    </r>
    <r>
      <rPr>
        <sz val="9"/>
        <rFont val="Noto Sans CJK SC"/>
        <family val="2"/>
      </rPr>
      <t xml:space="preserve">표시</t>
    </r>
  </si>
  <si>
    <t xml:space="preserve">참고 문헌</t>
  </si>
  <si>
    <t xml:space="preserve">reference_url</t>
  </si>
  <si>
    <r>
      <rPr>
        <sz val="9"/>
        <rFont val="Noto Sans CJK SC"/>
        <family val="2"/>
      </rPr>
      <t xml:space="preserve">인용 문헌 링크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선택 항목</t>
    </r>
  </si>
  <si>
    <r>
      <rPr>
        <sz val="9"/>
        <rFont val="Noto Sans CJK SC"/>
        <family val="2"/>
      </rPr>
      <t xml:space="preserve">화면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조작</t>
    </r>
  </si>
  <si>
    <r>
      <rPr>
        <b val="true"/>
        <sz val="9"/>
        <rFont val="Noto Sans CJK SC"/>
        <family val="2"/>
      </rPr>
      <t xml:space="preserve">영상 확대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비교</t>
    </r>
  </si>
  <si>
    <r>
      <rPr>
        <sz val="9"/>
        <rFont val="Noto Sans CJK SC"/>
        <family val="2"/>
      </rPr>
      <t xml:space="preserve">뷰어 기능 요건 — </t>
    </r>
    <r>
      <rPr>
        <sz val="9"/>
        <rFont val="Arial"/>
        <family val="0"/>
        <charset val="1"/>
      </rPr>
      <t xml:space="preserve">UI </t>
    </r>
    <r>
      <rPr>
        <sz val="9"/>
        <rFont val="Noto Sans CJK SC"/>
        <family val="2"/>
      </rPr>
      <t xml:space="preserve">명세서로 관리</t>
    </r>
  </si>
  <si>
    <r>
      <rPr>
        <b val="true"/>
        <sz val="9"/>
        <rFont val="Noto Sans CJK SC"/>
        <family val="2"/>
      </rPr>
      <t xml:space="preserve">오버레이 </t>
    </r>
    <r>
      <rPr>
        <b val="true"/>
        <sz val="9"/>
        <rFont val="Arial"/>
        <family val="0"/>
        <charset val="1"/>
      </rPr>
      <t xml:space="preserve">ON/OFF</t>
    </r>
  </si>
  <si>
    <t xml:space="preserve">overlay_view_yn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</si>
  <si>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사용 로그로 수집</t>
    </r>
  </si>
  <si>
    <t xml:space="preserve">이전 검사 병렬 보기</t>
  </si>
  <si>
    <r>
      <rPr>
        <sz val="9"/>
        <rFont val="Noto Sans CJK SC"/>
        <family val="2"/>
      </rPr>
      <t xml:space="preserve">비교 뷰어 기능 요건 — </t>
    </r>
    <r>
      <rPr>
        <sz val="9"/>
        <rFont val="Arial"/>
        <family val="0"/>
        <charset val="1"/>
      </rPr>
      <t xml:space="preserve">UI </t>
    </r>
    <r>
      <rPr>
        <sz val="9"/>
        <rFont val="Noto Sans CJK SC"/>
        <family val="2"/>
      </rPr>
      <t xml:space="preserve">명세서</t>
    </r>
  </si>
  <si>
    <t xml:space="preserve">단축키</t>
  </si>
  <si>
    <r>
      <rPr>
        <sz val="9"/>
        <rFont val="Noto Sans CJK SC"/>
        <family val="2"/>
      </rPr>
      <t xml:space="preserve">단축키 매핑 — </t>
    </r>
    <r>
      <rPr>
        <sz val="9"/>
        <rFont val="Arial"/>
        <family val="0"/>
        <charset val="1"/>
      </rPr>
      <t xml:space="preserve">UI </t>
    </r>
    <r>
      <rPr>
        <sz val="9"/>
        <rFont val="Noto Sans CJK SC"/>
        <family val="2"/>
      </rPr>
      <t xml:space="preserve">명세서</t>
    </r>
  </si>
  <si>
    <t xml:space="preserve">템플릿 호출</t>
  </si>
  <si>
    <t xml:space="preserve">used_template_id</t>
  </si>
  <si>
    <t xml:space="preserve">사용한 소견 템플릿 식별자</t>
  </si>
  <si>
    <t xml:space="preserve">다중 모니터</t>
  </si>
  <si>
    <r>
      <rPr>
        <sz val="9"/>
        <rFont val="Noto Sans CJK SC"/>
        <family val="2"/>
      </rPr>
      <t xml:space="preserve">다중 화면 레이아웃 요건 — </t>
    </r>
    <r>
      <rPr>
        <sz val="9"/>
        <rFont val="Arial"/>
        <family val="0"/>
        <charset val="1"/>
      </rPr>
      <t xml:space="preserve">UI </t>
    </r>
    <r>
      <rPr>
        <sz val="9"/>
        <rFont val="Noto Sans CJK SC"/>
        <family val="2"/>
      </rPr>
      <t xml:space="preserve">명세서</t>
    </r>
  </si>
  <si>
    <r>
      <rPr>
        <sz val="9"/>
        <rFont val="Noto Sans CJK SC"/>
        <family val="2"/>
      </rPr>
      <t xml:space="preserve">검토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수정</t>
    </r>
  </si>
  <si>
    <t xml:space="preserve">문장 단위 수정</t>
  </si>
  <si>
    <t xml:space="preserve">edit_sentence_cnt</t>
  </si>
  <si>
    <t xml:space="preserve">수정된 문장 수</t>
  </si>
  <si>
    <r>
      <rPr>
        <b val="true"/>
        <sz val="9"/>
        <rFont val="Noto Sans CJK SC"/>
        <family val="2"/>
      </rPr>
      <t xml:space="preserve">수정 전후 </t>
    </r>
    <r>
      <rPr>
        <b val="true"/>
        <sz val="9"/>
        <rFont val="Arial"/>
        <family val="0"/>
        <charset val="1"/>
      </rPr>
      <t xml:space="preserve">diff</t>
    </r>
  </si>
  <si>
    <t xml:space="preserve">edit_diff_json</t>
  </si>
  <si>
    <t xml:space="preserve">수정 전후 텍스트 차분</t>
  </si>
  <si>
    <t xml:space="preserve">반려 사유 선택</t>
  </si>
  <si>
    <t xml:space="preserve">reject_reason_cd_vet</t>
  </si>
  <si>
    <t xml:space="preserve">수의사가 선택한 반려 사유</t>
  </si>
  <si>
    <t xml:space="preserve">코멘트 입력</t>
  </si>
  <si>
    <t xml:space="preserve">vet_comment</t>
  </si>
  <si>
    <t xml:space="preserve">수의사 추가 코멘트</t>
  </si>
  <si>
    <t xml:space="preserve">재판독 요청</t>
  </si>
  <si>
    <t xml:space="preserve">rereview_yn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</si>
  <si>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재추론 요청 여부</t>
    </r>
  </si>
  <si>
    <t xml:space="preserve">전문의 의뢰</t>
  </si>
  <si>
    <t xml:space="preserve">referral_yn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</si>
  <si>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외부 전문의 의뢰 여부</t>
    </r>
  </si>
  <si>
    <r>
      <rPr>
        <sz val="9"/>
        <rFont val="Noto Sans CJK SC"/>
        <family val="2"/>
      </rPr>
      <t xml:space="preserve">승인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책임</t>
    </r>
  </si>
  <si>
    <r>
      <rPr>
        <b val="true"/>
        <sz val="9"/>
        <rFont val="Noto Sans CJK SC"/>
        <family val="2"/>
      </rPr>
      <t xml:space="preserve">최종 승인자 </t>
    </r>
    <r>
      <rPr>
        <b val="true"/>
        <sz val="9"/>
        <rFont val="Arial"/>
        <family val="0"/>
        <charset val="1"/>
      </rPr>
      <t xml:space="preserve">ID</t>
    </r>
  </si>
  <si>
    <t xml:space="preserve">approve_vet_id</t>
  </si>
  <si>
    <t xml:space="preserve">진단 주체 수의사 — 법적 책임 소재의 근거</t>
  </si>
  <si>
    <t xml:space="preserve">승인 일시</t>
  </si>
  <si>
    <t xml:space="preserve">approve_dt</t>
  </si>
  <si>
    <r>
      <rPr>
        <sz val="9"/>
        <rFont val="Noto Sans CJK SC"/>
        <family val="2"/>
      </rPr>
      <t xml:space="preserve">승인 시각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이후 수정 불가 잠금</t>
    </r>
  </si>
  <si>
    <r>
      <rPr>
        <b val="true"/>
        <sz val="9"/>
        <rFont val="Arial"/>
        <family val="0"/>
        <charset val="1"/>
      </rPr>
      <t xml:space="preserve">AI </t>
    </r>
    <r>
      <rPr>
        <b val="true"/>
        <sz val="9"/>
        <rFont val="Noto Sans CJK SC"/>
        <family val="2"/>
      </rPr>
      <t xml:space="preserve">보조 표기</t>
    </r>
  </si>
  <si>
    <t xml:space="preserve">ai_assisted_yn</t>
  </si>
  <si>
    <r>
      <rPr>
        <sz val="9"/>
        <rFont val="Arial"/>
        <family val="0"/>
        <charset val="1"/>
      </rPr>
      <t xml:space="preserve">Y / N · 'AI </t>
    </r>
    <r>
      <rPr>
        <sz val="9"/>
        <rFont val="Noto Sans CJK SC"/>
        <family val="2"/>
      </rPr>
      <t xml:space="preserve">보조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문구 표기 여부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조 대응</t>
    </r>
    <r>
      <rPr>
        <sz val="9"/>
        <rFont val="Arial"/>
        <family val="0"/>
        <charset val="1"/>
      </rPr>
      <t xml:space="preserve">)</t>
    </r>
  </si>
  <si>
    <t xml:space="preserve">전자서명</t>
  </si>
  <si>
    <t xml:space="preserve">esign_hash</t>
  </si>
  <si>
    <t xml:space="preserve">VARCHAR(128)</t>
  </si>
  <si>
    <t xml:space="preserve">승인자 전자서명 해시</t>
  </si>
  <si>
    <t xml:space="preserve">수정 불가 잠금</t>
  </si>
  <si>
    <t xml:space="preserve">locked_yn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</si>
  <si>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승인 후 잠금 상태</t>
    </r>
  </si>
  <si>
    <t xml:space="preserve">approval_audit_log</t>
  </si>
  <si>
    <r>
      <rPr>
        <sz val="9"/>
        <rFont val="Noto Sans CJK SC"/>
        <family val="2"/>
      </rPr>
      <t xml:space="preserve">승인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수정 행위 감사 로그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책임 소재 근거</t>
    </r>
    <r>
      <rPr>
        <sz val="9"/>
        <rFont val="Arial"/>
        <family val="0"/>
        <charset val="1"/>
      </rPr>
      <t xml:space="preserve">)</t>
    </r>
  </si>
  <si>
    <t xml:space="preserve">기록 연계</t>
  </si>
  <si>
    <r>
      <rPr>
        <b val="true"/>
        <sz val="9"/>
        <rFont val="Arial"/>
        <family val="0"/>
        <charset val="1"/>
      </rPr>
      <t xml:space="preserve">EMR </t>
    </r>
    <r>
      <rPr>
        <b val="true"/>
        <sz val="9"/>
        <rFont val="Noto Sans CJK SC"/>
        <family val="2"/>
      </rPr>
      <t xml:space="preserve">자동 입력</t>
    </r>
  </si>
  <si>
    <t xml:space="preserve">emr_sync_yn</t>
  </si>
  <si>
    <r>
      <rPr>
        <sz val="9"/>
        <rFont val="Arial"/>
        <family val="0"/>
        <charset val="1"/>
      </rPr>
      <t xml:space="preserve">Y / N · EMR </t>
    </r>
    <r>
      <rPr>
        <sz val="9"/>
        <rFont val="Noto Sans CJK SC"/>
        <family val="2"/>
      </rPr>
      <t xml:space="preserve">기록 반영 여부</t>
    </r>
  </si>
  <si>
    <t xml:space="preserve">진단명 코드 부여</t>
  </si>
  <si>
    <t xml:space="preserve">assigned_dx_cd</t>
  </si>
  <si>
    <t xml:space="preserve">최종 확정 진단명 표준 코드</t>
  </si>
  <si>
    <t xml:space="preserve">처방 연계</t>
  </si>
  <si>
    <t xml:space="preserve">linked_rx_id</t>
  </si>
  <si>
    <t xml:space="preserve">판독 결과로 발행된 처방 건</t>
  </si>
  <si>
    <t xml:space="preserve">다음 검사 예약</t>
  </si>
  <si>
    <t xml:space="preserve">next_exam_dt</t>
  </si>
  <si>
    <t xml:space="preserve">권고 재검사 예정일</t>
  </si>
  <si>
    <t xml:space="preserve">경과 기록</t>
  </si>
  <si>
    <t xml:space="preserve">followup_note</t>
  </si>
  <si>
    <t xml:space="preserve">경과 관찰 기록</t>
  </si>
  <si>
    <t xml:space="preserve">청구 항목 연계</t>
  </si>
  <si>
    <t xml:space="preserve">linked_charge_id</t>
  </si>
  <si>
    <t xml:space="preserve">판독에 연결된 청구 항목</t>
  </si>
  <si>
    <t xml:space="preserve">사용성 지표</t>
  </si>
  <si>
    <t xml:space="preserve">케이스당 소요 시간</t>
  </si>
  <si>
    <t xml:space="preserve">case_minutes</t>
  </si>
  <si>
    <r>
      <rPr>
        <sz val="9"/>
        <rFont val="Noto Sans CJK SC"/>
        <family val="2"/>
      </rPr>
      <t xml:space="preserve">업로드</t>
    </r>
    <r>
      <rPr>
        <sz val="9"/>
        <rFont val="Arial"/>
        <family val="0"/>
        <charset val="1"/>
      </rPr>
      <t xml:space="preserve">~</t>
    </r>
    <r>
      <rPr>
        <sz val="9"/>
        <rFont val="Noto Sans CJK SC"/>
        <family val="2"/>
      </rPr>
      <t xml:space="preserve">승인 소요 분 — 핵심 효익 지표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</si>
  <si>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초안 채택률</t>
  </si>
  <si>
    <t xml:space="preserve">draft_adopt_rate</t>
  </si>
  <si>
    <r>
      <rPr>
        <sz val="9"/>
        <rFont val="Noto Sans CJK SC"/>
        <family val="2"/>
      </rPr>
      <t xml:space="preserve">무수정 승인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</si>
  <si>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문장 수정률</t>
  </si>
  <si>
    <t xml:space="preserve">edit_ratio</t>
  </si>
  <si>
    <r>
      <rPr>
        <sz val="9"/>
        <rFont val="Noto Sans CJK SC"/>
        <family val="2"/>
      </rPr>
      <t xml:space="preserve">초안 대비 수정 문자 비율 — 핵심 </t>
    </r>
    <r>
      <rPr>
        <sz val="9"/>
        <rFont val="Arial"/>
        <family val="0"/>
        <charset val="1"/>
      </rPr>
      <t xml:space="preserve">KPI 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</si>
  <si>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반려율</t>
  </si>
  <si>
    <t xml:space="preserve">reject_rate</t>
  </si>
  <si>
    <r>
      <rPr>
        <sz val="9"/>
        <rFont val="Noto Sans CJK SC"/>
        <family val="2"/>
      </rPr>
      <t xml:space="preserve">반려 건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</si>
  <si>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재판독 발생률</t>
  </si>
  <si>
    <t xml:space="preserve">rereview_rate</t>
  </si>
  <si>
    <r>
      <rPr>
        <sz val="9"/>
        <rFont val="Noto Sans CJK SC"/>
        <family val="2"/>
      </rPr>
      <t xml:space="preserve">재판독 요청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</si>
  <si>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사용 빈도</t>
  </si>
  <si>
    <t xml:space="preserve">daily_use_cnt</t>
  </si>
  <si>
    <r>
      <rPr>
        <sz val="9"/>
        <rFont val="Noto Sans CJK SC"/>
        <family val="2"/>
      </rPr>
      <t xml:space="preserve">수의사별 일 사용 건수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</si>
  <si>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안전장치</t>
  </si>
  <si>
    <r>
      <rPr>
        <b val="true"/>
        <sz val="9"/>
        <rFont val="Arial"/>
        <family val="0"/>
        <charset val="1"/>
      </rPr>
      <t xml:space="preserve">AI </t>
    </r>
    <r>
      <rPr>
        <b val="true"/>
        <sz val="9"/>
        <rFont val="Noto Sans CJK SC"/>
        <family val="2"/>
      </rPr>
      <t xml:space="preserve">단독 확정 금지</t>
    </r>
  </si>
  <si>
    <r>
      <rPr>
        <sz val="9"/>
        <rFont val="Noto Sans CJK SC"/>
        <family val="2"/>
      </rPr>
      <t xml:space="preserve">승인 전 결과 고지 차단 — 설계 준거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조</t>
    </r>
    <r>
      <rPr>
        <sz val="9"/>
        <rFont val="Arial"/>
        <family val="0"/>
        <charset val="1"/>
      </rPr>
      <t xml:space="preserve">)</t>
    </r>
  </si>
  <si>
    <t xml:space="preserve">저신뢰 케이스 표시</t>
  </si>
  <si>
    <t xml:space="preserve">low_conf_flag</t>
  </si>
  <si>
    <r>
      <rPr>
        <sz val="9"/>
        <rFont val="Noto Sans CJK SC"/>
        <family val="2"/>
      </rPr>
      <t xml:space="preserve">임계값 미만 시 확인 필수 표시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</si>
  <si>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응급 소견 알림</t>
  </si>
  <si>
    <t xml:space="preserve">critical_alert_yn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</si>
  <si>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즉시 알림 발송 여부</t>
    </r>
  </si>
  <si>
    <t xml:space="preserve">오류 신고</t>
  </si>
  <si>
    <t xml:space="preserve">error_report_id</t>
  </si>
  <si>
    <t xml:space="preserve">사용자 오류 신고 접수 식별자</t>
  </si>
  <si>
    <t xml:space="preserve">면책 문구</t>
  </si>
  <si>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보조 도구 고지 문구 — 화면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리포트 고정 표기</t>
    </r>
  </si>
  <si>
    <t xml:space="preserve">버전 이력 보관</t>
  </si>
  <si>
    <t xml:space="preserve">draft_ver_hist</t>
  </si>
  <si>
    <t xml:space="preserve">초안 버전별 이력 보관</t>
  </si>
  <si>
    <t xml:space="preserve">⑨</t>
  </si>
  <si>
    <r>
      <rPr>
        <sz val="9"/>
        <rFont val="Noto Sans CJK SC"/>
        <family val="2"/>
      </rPr>
      <t xml:space="preserve">보호자 설명문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수익화</t>
    </r>
  </si>
  <si>
    <t xml:space="preserve">설명문 생성</t>
  </si>
  <si>
    <t xml:space="preserve">승인 소견 기반 변환</t>
  </si>
  <si>
    <t xml:space="preserve">source_approve_id</t>
  </si>
  <si>
    <r>
      <rPr>
        <sz val="9"/>
        <rFont val="Noto Sans CJK SC"/>
        <family val="2"/>
      </rPr>
      <t xml:space="preserve">변환 원본이 된 승인 소견 식별자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승인분만 허용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</si>
  <si>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난이도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초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중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상</t>
    </r>
    <r>
      <rPr>
        <b val="true"/>
        <sz val="9"/>
        <rFont val="Arial"/>
        <family val="0"/>
        <charset val="1"/>
      </rPr>
      <t xml:space="preserve">)</t>
    </r>
  </si>
  <si>
    <t xml:space="preserve">report_level_cd</t>
  </si>
  <si>
    <r>
      <rPr>
        <sz val="9"/>
        <rFont val="Arial"/>
        <family val="0"/>
        <charset val="1"/>
      </rPr>
      <t xml:space="preserve">L </t>
    </r>
    <r>
      <rPr>
        <sz val="9"/>
        <rFont val="Noto Sans CJK SC"/>
        <family val="2"/>
      </rPr>
      <t xml:space="preserve">초급 </t>
    </r>
    <r>
      <rPr>
        <sz val="9"/>
        <rFont val="Arial"/>
        <family val="0"/>
        <charset val="1"/>
      </rPr>
      <t xml:space="preserve">/ M </t>
    </r>
    <r>
      <rPr>
        <sz val="9"/>
        <rFont val="Noto Sans CJK SC"/>
        <family val="2"/>
      </rPr>
      <t xml:space="preserve">중급 </t>
    </r>
    <r>
      <rPr>
        <sz val="9"/>
        <rFont val="Arial"/>
        <family val="0"/>
        <charset val="1"/>
      </rPr>
      <t xml:space="preserve">/ H </t>
    </r>
    <r>
      <rPr>
        <sz val="9"/>
        <rFont val="Noto Sans CJK SC"/>
        <family val="2"/>
      </rPr>
      <t xml:space="preserve">상급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보호자 특성으로 결정</t>
    </r>
  </si>
  <si>
    <t xml:space="preserve">문장 길이</t>
  </si>
  <si>
    <t xml:space="preserve">report_length_cd</t>
  </si>
  <si>
    <t xml:space="preserve">S / M / L</t>
  </si>
  <si>
    <r>
      <rPr>
        <b val="true"/>
        <sz val="9"/>
        <rFont val="Noto Sans CJK SC"/>
        <family val="2"/>
      </rPr>
      <t xml:space="preserve">비유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예시</t>
    </r>
  </si>
  <si>
    <t xml:space="preserve">analogy_used_yn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</si>
  <si>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비유 삽입 여부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이해도와 교차분석</t>
    </r>
  </si>
  <si>
    <t xml:space="preserve">금칙어 필터</t>
  </si>
  <si>
    <t xml:space="preserve">banned_word_hit_cnt</t>
  </si>
  <si>
    <r>
      <rPr>
        <sz val="9"/>
        <rFont val="Noto Sans CJK SC"/>
        <family val="2"/>
      </rPr>
      <t xml:space="preserve">금칙 표현 검출 건수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</si>
  <si>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확정 진단 표현 회피</t>
  </si>
  <si>
    <r>
      <rPr>
        <sz val="9"/>
        <rFont val="Noto Sans CJK SC"/>
        <family val="2"/>
      </rPr>
      <t xml:space="preserve">단정 표현 금지 — 생성 규칙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수의사법 대응</t>
    </r>
    <r>
      <rPr>
        <sz val="9"/>
        <rFont val="Arial"/>
        <family val="0"/>
        <charset val="1"/>
      </rPr>
      <t xml:space="preserve">)</t>
    </r>
  </si>
  <si>
    <t xml:space="preserve">콘텐츠 구성</t>
  </si>
  <si>
    <t xml:space="preserve">쉬운 병명 풀이</t>
  </si>
  <si>
    <t xml:space="preserve">plain_dx_text</t>
  </si>
  <si>
    <t xml:space="preserve">표준 진단명의 보호자용 평이 설명</t>
  </si>
  <si>
    <t xml:space="preserve">주석 표시 영상</t>
  </si>
  <si>
    <t xml:space="preserve">owner_img_path</t>
  </si>
  <si>
    <r>
      <rPr>
        <sz val="9"/>
        <rFont val="Noto Sans CJK SC"/>
        <family val="2"/>
      </rPr>
      <t xml:space="preserve">보호자용 주석 영상 경로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판독 오버레이 가공본</t>
    </r>
  </si>
  <si>
    <t xml:space="preserve">정상 대비 비교</t>
  </si>
  <si>
    <t xml:space="preserve">normal_ref_img_path</t>
  </si>
  <si>
    <t xml:space="preserve">정상 사례 대비 이미지 경로</t>
  </si>
  <si>
    <r>
      <rPr>
        <b val="true"/>
        <sz val="9"/>
        <rFont val="Noto Sans CJK SC"/>
        <family val="2"/>
      </rPr>
      <t xml:space="preserve">심각도 </t>
    </r>
    <r>
      <rPr>
        <b val="true"/>
        <sz val="9"/>
        <rFont val="Arial"/>
        <family val="0"/>
        <charset val="1"/>
      </rPr>
      <t xml:space="preserve">3</t>
    </r>
    <r>
      <rPr>
        <b val="true"/>
        <sz val="9"/>
        <rFont val="Noto Sans CJK SC"/>
        <family val="2"/>
      </rPr>
      <t xml:space="preserve">단계</t>
    </r>
  </si>
  <si>
    <t xml:space="preserve">severity_cd</t>
  </si>
  <si>
    <r>
      <rPr>
        <sz val="9"/>
        <rFont val="Arial"/>
        <family val="0"/>
        <charset val="1"/>
      </rPr>
      <t xml:space="preserve">H / M / L · </t>
    </r>
    <r>
      <rPr>
        <sz val="9"/>
        <rFont val="Noto Sans CJK SC"/>
        <family val="2"/>
      </rPr>
      <t xml:space="preserve">보호자 표기용 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단계</t>
    </r>
  </si>
  <si>
    <t xml:space="preserve">용어 사전</t>
  </si>
  <si>
    <t xml:space="preserve">term_dict_id</t>
  </si>
  <si>
    <r>
      <rPr>
        <sz val="9"/>
        <rFont val="Noto Sans CJK SC"/>
        <family val="2"/>
      </rPr>
      <t xml:space="preserve">의학 용어 → 평이 표현 사전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참조 테이블</t>
    </r>
    <r>
      <rPr>
        <sz val="9"/>
        <rFont val="Arial"/>
        <family val="0"/>
        <charset val="1"/>
      </rPr>
      <t xml:space="preserve">)</t>
    </r>
  </si>
  <si>
    <t xml:space="preserve">홈케어 지침</t>
  </si>
  <si>
    <t xml:space="preserve">homecare_text</t>
  </si>
  <si>
    <t xml:space="preserve">가정 관리 지침 서술</t>
  </si>
  <si>
    <t xml:space="preserve">맞춤 변수</t>
  </si>
  <si>
    <t xml:space="preserve">보호자 연령대</t>
  </si>
  <si>
    <r>
      <rPr>
        <sz val="9"/>
        <rFont val="Noto Sans CJK SC"/>
        <family val="2"/>
      </rPr>
      <t xml:space="preserve">⑤ 마스터에서 상속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난이도 결정 입력</t>
    </r>
  </si>
  <si>
    <t xml:space="preserve">반려 경험</t>
  </si>
  <si>
    <t xml:space="preserve">report_topic_weight</t>
  </si>
  <si>
    <r>
      <rPr>
        <sz val="9"/>
        <rFont val="Noto Sans CJK SC"/>
        <family val="2"/>
      </rPr>
      <t xml:space="preserve">설명문 구성 가중치 </t>
    </r>
    <r>
      <rPr>
        <sz val="9"/>
        <rFont val="Arial"/>
        <family val="0"/>
        <charset val="1"/>
      </rPr>
      <t xml:space="preserve">· ⑤ </t>
    </r>
    <r>
      <rPr>
        <sz val="9"/>
        <rFont val="Noto Sans CJK SC"/>
        <family val="2"/>
      </rPr>
      <t xml:space="preserve">보호자 속성에서 상속</t>
    </r>
  </si>
  <si>
    <t xml:space="preserve">report_lang_cd</t>
  </si>
  <si>
    <r>
      <rPr>
        <sz val="9"/>
        <rFont val="Noto Sans CJK SC"/>
        <family val="2"/>
      </rPr>
      <t xml:space="preserve">리포트 생성 언어 </t>
    </r>
    <r>
      <rPr>
        <sz val="9"/>
        <rFont val="Arial"/>
        <family val="0"/>
        <charset val="1"/>
      </rPr>
      <t xml:space="preserve">· ⑤ </t>
    </r>
    <r>
      <rPr>
        <sz val="9"/>
        <rFont val="Noto Sans CJK SC"/>
        <family val="2"/>
      </rPr>
      <t xml:space="preserve">보호자 속성에서 상속</t>
    </r>
  </si>
  <si>
    <t xml:space="preserve">이전 열람 이력</t>
  </si>
  <si>
    <t xml:space="preserve">prior_read_cnt</t>
  </si>
  <si>
    <r>
      <rPr>
        <sz val="9"/>
        <rFont val="Noto Sans CJK SC"/>
        <family val="2"/>
      </rPr>
      <t xml:space="preserve">과거 리포트 열람 횟수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</si>
  <si>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질환 중증도</t>
  </si>
  <si>
    <t xml:space="preserve">severity_input_cd</t>
  </si>
  <si>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위험도 등급 상속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설명 강도 결정</t>
    </r>
  </si>
  <si>
    <t xml:space="preserve">전달 채널</t>
  </si>
  <si>
    <t xml:space="preserve">앱 푸시</t>
  </si>
  <si>
    <t xml:space="preserve">push_sent_yn</t>
  </si>
  <si>
    <t xml:space="preserve">카카오톡</t>
  </si>
  <si>
    <t xml:space="preserve">kakao_sent_yn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</si>
  <si>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알림톡 발송 여부</t>
    </r>
  </si>
  <si>
    <r>
      <rPr>
        <b val="true"/>
        <sz val="9"/>
        <rFont val="Noto Sans CJK SC"/>
        <family val="2"/>
      </rPr>
      <t xml:space="preserve">문자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이메일</t>
    </r>
  </si>
  <si>
    <t xml:space="preserve">sms_email_sent_yn</t>
  </si>
  <si>
    <r>
      <rPr>
        <b val="true"/>
        <sz val="9"/>
        <rFont val="Noto Sans CJK SC"/>
        <family val="2"/>
      </rPr>
      <t xml:space="preserve">인쇄물 </t>
    </r>
    <r>
      <rPr>
        <b val="true"/>
        <sz val="9"/>
        <rFont val="Arial"/>
        <family val="0"/>
        <charset val="1"/>
      </rPr>
      <t xml:space="preserve">QR</t>
    </r>
  </si>
  <si>
    <t xml:space="preserve">qr_token</t>
  </si>
  <si>
    <r>
      <rPr>
        <sz val="9"/>
        <rFont val="Noto Sans CJK SC"/>
        <family val="2"/>
      </rPr>
      <t xml:space="preserve">인쇄물 </t>
    </r>
    <r>
      <rPr>
        <sz val="9"/>
        <rFont val="Arial"/>
        <family val="0"/>
        <charset val="1"/>
      </rPr>
      <t xml:space="preserve">QR </t>
    </r>
    <r>
      <rPr>
        <sz val="9"/>
        <rFont val="Noto Sans CJK SC"/>
        <family val="2"/>
      </rPr>
      <t xml:space="preserve">접근 토큰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만료 시각 포함</t>
    </r>
  </si>
  <si>
    <t xml:space="preserve">가족 공유 링크</t>
  </si>
  <si>
    <t xml:space="preserve">share_link_token</t>
  </si>
  <si>
    <r>
      <rPr>
        <sz val="9"/>
        <rFont val="Noto Sans CJK SC"/>
        <family val="2"/>
      </rPr>
      <t xml:space="preserve">가족 공유용 링크 토큰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열람 범위 제한</t>
    </r>
  </si>
  <si>
    <t xml:space="preserve">발송 실패 재시도</t>
  </si>
  <si>
    <t xml:space="preserve">send_retry_cnt</t>
  </si>
  <si>
    <t xml:space="preserve">채널별 재시도 횟수</t>
  </si>
  <si>
    <t xml:space="preserve">반응 데이터</t>
  </si>
  <si>
    <r>
      <rPr>
        <b val="true"/>
        <sz val="9"/>
        <rFont val="Noto Sans CJK SC"/>
        <family val="2"/>
      </rPr>
      <t xml:space="preserve">열람 여부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시각</t>
    </r>
  </si>
  <si>
    <t xml:space="preserve">owner_read_dt</t>
  </si>
  <si>
    <r>
      <rPr>
        <sz val="9"/>
        <rFont val="Noto Sans CJK SC"/>
        <family val="2"/>
      </rPr>
      <t xml:space="preserve">최초 열람 시각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미열람은 </t>
    </r>
    <r>
      <rPr>
        <sz val="9"/>
        <rFont val="Arial"/>
        <family val="0"/>
        <charset val="1"/>
      </rPr>
      <t xml:space="preserve">NULL</t>
    </r>
  </si>
  <si>
    <t xml:space="preserve">열람 소요 시간</t>
  </si>
  <si>
    <t xml:space="preserve">read_seconds</t>
  </si>
  <si>
    <r>
      <rPr>
        <sz val="9"/>
        <rFont val="Noto Sans CJK SC"/>
        <family val="2"/>
      </rPr>
      <t xml:space="preserve">열람 체류 시간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초</t>
    </r>
    <r>
      <rPr>
        <sz val="9"/>
        <rFont val="Arial"/>
        <family val="0"/>
        <charset val="1"/>
      </rPr>
      <t xml:space="preserve">) · </t>
    </r>
    <r>
      <rPr>
        <sz val="9"/>
        <rFont val="Noto Sans CJK SC"/>
        <family val="2"/>
      </rPr>
      <t xml:space="preserve">이해도 간접 지표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</si>
  <si>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완독률</t>
  </si>
  <si>
    <t xml:space="preserve">read_complete_rate</t>
  </si>
  <si>
    <r>
      <rPr>
        <sz val="9"/>
        <rFont val="Noto Sans CJK SC"/>
        <family val="2"/>
      </rPr>
      <t xml:space="preserve">스크롤 기준 완독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</si>
  <si>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재열람 횟수</t>
  </si>
  <si>
    <t xml:space="preserve">reread_cnt</t>
  </si>
  <si>
    <r>
      <rPr>
        <sz val="9"/>
        <rFont val="Noto Sans CJK SC"/>
        <family val="2"/>
      </rPr>
      <t xml:space="preserve">재열람 횟수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</si>
  <si>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추가 질문 등록</t>
  </si>
  <si>
    <t xml:space="preserve">question_cnt</t>
  </si>
  <si>
    <r>
      <rPr>
        <sz val="9"/>
        <rFont val="Noto Sans CJK SC"/>
        <family val="2"/>
      </rPr>
      <t xml:space="preserve">보호자 추가 질문 건수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설명 품질의 역지표</t>
    </r>
  </si>
  <si>
    <t xml:space="preserve">이해도 자가평가</t>
  </si>
  <si>
    <t xml:space="preserve">understand_score</t>
  </si>
  <si>
    <r>
      <rPr>
        <sz val="9"/>
        <rFont val="Arial"/>
        <family val="0"/>
        <charset val="1"/>
      </rPr>
      <t xml:space="preserve">1~5 · </t>
    </r>
    <r>
      <rPr>
        <sz val="9"/>
        <rFont val="Noto Sans CJK SC"/>
        <family val="2"/>
      </rPr>
      <t xml:space="preserve">보호자 직접 응답</t>
    </r>
  </si>
  <si>
    <t xml:space="preserve">행동 전환</t>
  </si>
  <si>
    <t xml:space="preserve">추가검사 동의율</t>
  </si>
  <si>
    <t xml:space="preserve">addtest_consent_rate</t>
  </si>
  <si>
    <r>
      <rPr>
        <sz val="9"/>
        <rFont val="Noto Sans CJK SC"/>
        <family val="2"/>
      </rPr>
      <t xml:space="preserve">권고 대비 동의 비율 — 매출 기여 핵심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</si>
  <si>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처방 수락률</t>
  </si>
  <si>
    <t xml:space="preserve">rx_accept_rate</t>
  </si>
  <si>
    <r>
      <rPr>
        <sz val="9"/>
        <rFont val="Noto Sans CJK SC"/>
        <family val="2"/>
      </rPr>
      <t xml:space="preserve">처방 수락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</si>
  <si>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재방문 예약률</t>
  </si>
  <si>
    <t xml:space="preserve">revisit_book_rate</t>
  </si>
  <si>
    <r>
      <rPr>
        <sz val="9"/>
        <rFont val="Noto Sans CJK SC"/>
        <family val="2"/>
      </rPr>
      <t xml:space="preserve">재방문 예약 전환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</si>
  <si>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홈케어 이행률</t>
  </si>
  <si>
    <t xml:space="preserve">homecare_comply_rate</t>
  </si>
  <si>
    <r>
      <rPr>
        <sz val="9"/>
        <rFont val="Noto Sans CJK SC"/>
        <family val="2"/>
      </rPr>
      <t xml:space="preserve">체크리스트 기준 이행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</si>
  <si>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노쇼 비율</t>
  </si>
  <si>
    <t xml:space="preserve">noshow_rate</t>
  </si>
  <si>
    <r>
      <rPr>
        <sz val="9"/>
        <rFont val="Noto Sans CJK SC"/>
        <family val="2"/>
      </rPr>
      <t xml:space="preserve">예약 대비 미방문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</si>
  <si>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상담 신청 수</t>
  </si>
  <si>
    <t xml:space="preserve">consult_request_cnt</t>
  </si>
  <si>
    <t xml:space="preserve">추가 상담 신청 건수</t>
  </si>
  <si>
    <t xml:space="preserve">수익화</t>
  </si>
  <si>
    <t xml:space="preserve">구독 플랜 구분</t>
  </si>
  <si>
    <t xml:space="preserve">subs_plan_cd</t>
  </si>
  <si>
    <r>
      <rPr>
        <sz val="9"/>
        <rFont val="Arial"/>
        <family val="0"/>
        <charset val="1"/>
      </rPr>
      <t xml:space="preserve">FR </t>
    </r>
    <r>
      <rPr>
        <sz val="9"/>
        <rFont val="Noto Sans CJK SC"/>
        <family val="2"/>
      </rPr>
      <t xml:space="preserve">무료 </t>
    </r>
    <r>
      <rPr>
        <sz val="9"/>
        <rFont val="Arial"/>
        <family val="0"/>
        <charset val="1"/>
      </rPr>
      <t xml:space="preserve">/ BS </t>
    </r>
    <r>
      <rPr>
        <sz val="9"/>
        <rFont val="Noto Sans CJK SC"/>
        <family val="2"/>
      </rPr>
      <t xml:space="preserve">베이직 </t>
    </r>
    <r>
      <rPr>
        <sz val="9"/>
        <rFont val="Arial"/>
        <family val="0"/>
        <charset val="1"/>
      </rPr>
      <t xml:space="preserve">/ PR </t>
    </r>
    <r>
      <rPr>
        <sz val="9"/>
        <rFont val="Noto Sans CJK SC"/>
        <family val="2"/>
      </rPr>
      <t xml:space="preserve">프로</t>
    </r>
  </si>
  <si>
    <t xml:space="preserve">병원 과금 단가</t>
  </si>
  <si>
    <t xml:space="preserve">subs_monthly_amt</t>
  </si>
  <si>
    <r>
      <rPr>
        <sz val="9"/>
        <rFont val="Noto Sans CJK SC"/>
        <family val="2"/>
      </rPr>
      <t xml:space="preserve">병원 월 과금액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</si>
  <si>
    <t xml:space="preserve">케이스당 단가</t>
  </si>
  <si>
    <t xml:space="preserve">amt_per_case</t>
  </si>
  <si>
    <r>
      <rPr>
        <sz val="9"/>
        <rFont val="Noto Sans CJK SC"/>
        <family val="2"/>
      </rPr>
      <t xml:space="preserve">월 과금 </t>
    </r>
    <r>
      <rPr>
        <sz val="9"/>
        <rFont val="Arial"/>
        <family val="0"/>
        <charset val="1"/>
      </rPr>
      <t xml:space="preserve">÷ </t>
    </r>
    <r>
      <rPr>
        <sz val="9"/>
        <rFont val="Noto Sans CJK SC"/>
        <family val="2"/>
      </rPr>
      <t xml:space="preserve">처리 건수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</si>
  <si>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무료→유료 전환율</t>
  </si>
  <si>
    <t xml:space="preserve">paid_conv_rate</t>
  </si>
  <si>
    <r>
      <rPr>
        <sz val="9"/>
        <rFont val="Noto Sans CJK SC"/>
        <family val="2"/>
      </rPr>
      <t xml:space="preserve">무료 체험 대비 유료 전환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</si>
  <si>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해지율</t>
    </r>
    <r>
      <rPr>
        <b val="true"/>
        <sz val="9"/>
        <rFont val="Arial"/>
        <family val="0"/>
        <charset val="1"/>
      </rPr>
      <t xml:space="preserve">(Churn)</t>
    </r>
  </si>
  <si>
    <t xml:space="preserve">churn_rate</t>
  </si>
  <si>
    <r>
      <rPr>
        <sz val="9"/>
        <rFont val="Noto Sans CJK SC"/>
        <family val="2"/>
      </rPr>
      <t xml:space="preserve">월 해지 비율 — 락인 효과 검증 지표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</si>
  <si>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subs_payment_cd</t>
  </si>
  <si>
    <r>
      <rPr>
        <sz val="9"/>
        <rFont val="Noto Sans CJK SC"/>
        <family val="2"/>
      </rPr>
      <t xml:space="preserve">구독 결제 수단 </t>
    </r>
    <r>
      <rPr>
        <sz val="9"/>
        <rFont val="Arial"/>
        <family val="0"/>
        <charset val="1"/>
      </rPr>
      <t xml:space="preserve">· ③ </t>
    </r>
    <r>
      <rPr>
        <sz val="9"/>
        <rFont val="Noto Sans CJK SC"/>
        <family val="2"/>
      </rPr>
      <t xml:space="preserve">진료비 결제와 별개</t>
    </r>
  </si>
  <si>
    <t xml:space="preserve">선순환 지표</t>
  </si>
  <si>
    <t xml:space="preserve">누적 케이스 수</t>
  </si>
  <si>
    <t xml:space="preserve">cum_case_cnt</t>
  </si>
  <si>
    <r>
      <rPr>
        <sz val="9"/>
        <rFont val="Noto Sans CJK SC"/>
        <family val="2"/>
      </rPr>
      <t xml:space="preserve">서비스 누적 처리 건수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</si>
  <si>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신규 학습 데이터량</t>
  </si>
  <si>
    <t xml:space="preserve">new_train_case_cnt</t>
  </si>
  <si>
    <r>
      <rPr>
        <sz val="9"/>
        <rFont val="Noto Sans CJK SC"/>
        <family val="2"/>
      </rPr>
      <t xml:space="preserve">기간 내 학습 투입 가능 신규 건수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</si>
  <si>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모델 성능 개선폭</t>
  </si>
  <si>
    <t xml:space="preserve">perf_improve_delta</t>
  </si>
  <si>
    <r>
      <rPr>
        <sz val="9"/>
        <rFont val="Noto Sans CJK SC"/>
        <family val="2"/>
      </rPr>
      <t xml:space="preserve">데이터 증분에 따른 성능 변화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</si>
  <si>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병원 리텐션</t>
  </si>
  <si>
    <t xml:space="preserve">hospital_retention_rate</t>
  </si>
  <si>
    <r>
      <rPr>
        <sz val="9"/>
        <rFont val="Noto Sans CJK SC"/>
        <family val="2"/>
      </rPr>
      <t xml:space="preserve">계약 유지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</si>
  <si>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추천 지수</t>
    </r>
    <r>
      <rPr>
        <b val="true"/>
        <sz val="9"/>
        <rFont val="Arial"/>
        <family val="0"/>
        <charset val="1"/>
      </rPr>
      <t xml:space="preserve">(NPS)</t>
    </r>
  </si>
  <si>
    <t xml:space="preserve">nps_score</t>
  </si>
  <si>
    <r>
      <rPr>
        <sz val="9"/>
        <rFont val="Arial"/>
        <family val="0"/>
        <charset val="1"/>
      </rPr>
      <t xml:space="preserve">0~10 · </t>
    </r>
    <r>
      <rPr>
        <sz val="9"/>
        <rFont val="Noto Sans CJK SC"/>
        <family val="2"/>
      </rPr>
      <t xml:space="preserve">보호자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수의사 각각 수집</t>
    </r>
  </si>
  <si>
    <t xml:space="preserve">데이터 기여 보상</t>
  </si>
  <si>
    <t xml:space="preserve">data_reward_amt</t>
  </si>
  <si>
    <r>
      <rPr>
        <sz val="9"/>
        <rFont val="Noto Sans CJK SC"/>
        <family val="2"/>
      </rPr>
      <t xml:space="preserve">데이터 제공 병원 보상액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 · </t>
    </r>
    <r>
      <rPr>
        <sz val="9"/>
        <rFont val="Noto Sans CJK SC"/>
        <family val="2"/>
      </rPr>
      <t xml:space="preserve">정책 미확정</t>
    </r>
  </si>
  <si>
    <r>
      <rPr>
        <sz val="9"/>
        <rFont val="Arial"/>
        <family val="0"/>
        <charset val="1"/>
      </rPr>
      <t xml:space="preserve">2. </t>
    </r>
    <r>
      <rPr>
        <sz val="9"/>
        <rFont val="Noto Sans CJK SC"/>
        <family val="2"/>
      </rPr>
      <t xml:space="preserve">외부 데이터</t>
    </r>
  </si>
  <si>
    <t xml:space="preserve">⑩</t>
  </si>
  <si>
    <r>
      <rPr>
        <sz val="9"/>
        <rFont val="Noto Sans CJK SC"/>
        <family val="2"/>
      </rPr>
      <t xml:space="preserve">보호자 신뢰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시장 대응</t>
    </r>
  </si>
  <si>
    <r>
      <rPr>
        <sz val="9"/>
        <rFont val="Noto Sans CJK SC"/>
        <family val="2"/>
      </rPr>
      <t xml:space="preserve">불신 실태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비용</t>
    </r>
    <r>
      <rPr>
        <sz val="9"/>
        <rFont val="Arial"/>
        <family val="0"/>
        <charset val="1"/>
      </rPr>
      <t xml:space="preserve">)</t>
    </r>
  </si>
  <si>
    <t xml:space="preserve">진료비 사전 미고지</t>
  </si>
  <si>
    <t xml:space="preserve">stat_no_prior_notice</t>
  </si>
  <si>
    <r>
      <rPr>
        <sz val="9"/>
        <rFont val="Noto Sans CJK SC"/>
        <family val="2"/>
      </rPr>
      <t xml:space="preserve">사전 미고지 불만 비율</t>
    </r>
    <r>
      <rPr>
        <sz val="9"/>
        <rFont val="Arial"/>
        <family val="0"/>
        <charset val="1"/>
      </rPr>
      <t xml:space="preserve">(%) · </t>
    </r>
    <r>
      <rPr>
        <sz val="9"/>
        <rFont val="Noto Sans CJK SC"/>
        <family val="2"/>
      </rPr>
      <t xml:space="preserve">공개 조사 통계</t>
    </r>
  </si>
  <si>
    <t xml:space="preserve">병원 간 진료비 격차</t>
  </si>
  <si>
    <t xml:space="preserve">stat_price_gap</t>
  </si>
  <si>
    <r>
      <rPr>
        <sz val="9"/>
        <rFont val="Noto Sans CJK SC"/>
        <family val="2"/>
      </rPr>
      <t xml:space="preserve">가격 편차 불만 비율</t>
    </r>
    <r>
      <rPr>
        <sz val="9"/>
        <rFont val="Arial"/>
        <family val="0"/>
        <charset val="1"/>
      </rPr>
      <t xml:space="preserve">(%) · </t>
    </r>
    <r>
      <rPr>
        <sz val="9"/>
        <rFont val="Noto Sans CJK SC"/>
        <family val="2"/>
      </rPr>
      <t xml:space="preserve">공개 조사 통계</t>
    </r>
  </si>
  <si>
    <t xml:space="preserve">과잉검사 의심</t>
  </si>
  <si>
    <t xml:space="preserve">stat_overtest_doubt</t>
  </si>
  <si>
    <r>
      <rPr>
        <sz val="9"/>
        <rFont val="Noto Sans CJK SC"/>
        <family val="2"/>
      </rPr>
      <t xml:space="preserve">과잉검사 의심 비율</t>
    </r>
    <r>
      <rPr>
        <sz val="9"/>
        <rFont val="Arial"/>
        <family val="0"/>
        <charset val="1"/>
      </rPr>
      <t xml:space="preserve">(%) · </t>
    </r>
    <r>
      <rPr>
        <sz val="9"/>
        <rFont val="Noto Sans CJK SC"/>
        <family val="2"/>
      </rPr>
      <t xml:space="preserve">공개 조사 통계</t>
    </r>
  </si>
  <si>
    <t xml:space="preserve">과다청구 의심</t>
  </si>
  <si>
    <t xml:space="preserve">stat_overcharge_doubt</t>
  </si>
  <si>
    <r>
      <rPr>
        <sz val="9"/>
        <rFont val="Noto Sans CJK SC"/>
        <family val="2"/>
      </rPr>
      <t xml:space="preserve">과다청구 불만 비율</t>
    </r>
    <r>
      <rPr>
        <sz val="9"/>
        <rFont val="Arial"/>
        <family val="0"/>
        <charset val="1"/>
      </rPr>
      <t xml:space="preserve">(%) · </t>
    </r>
    <r>
      <rPr>
        <sz val="9"/>
        <rFont val="Noto Sans CJK SC"/>
        <family val="2"/>
      </rPr>
      <t xml:space="preserve">공개 조사 통계</t>
    </r>
  </si>
  <si>
    <r>
      <rPr>
        <b val="true"/>
        <sz val="9"/>
        <rFont val="Noto Sans CJK SC"/>
        <family val="2"/>
      </rPr>
      <t xml:space="preserve">피해 구제율 </t>
    </r>
    <r>
      <rPr>
        <b val="true"/>
        <sz val="9"/>
        <rFont val="Arial"/>
        <family val="0"/>
        <charset val="1"/>
      </rPr>
      <t xml:space="preserve">26.4%</t>
    </r>
  </si>
  <si>
    <t xml:space="preserve">stat_redress_rate</t>
  </si>
  <si>
    <r>
      <rPr>
        <sz val="9"/>
        <rFont val="Noto Sans CJK SC"/>
        <family val="2"/>
      </rPr>
      <t xml:space="preserve">한국소비자원 피해 구제율 </t>
    </r>
    <r>
      <rPr>
        <sz val="9"/>
        <rFont val="Arial"/>
        <family val="0"/>
        <charset val="1"/>
      </rPr>
      <t xml:space="preserve">26.4%</t>
    </r>
  </si>
  <si>
    <r>
      <rPr>
        <b val="true"/>
        <sz val="9"/>
        <rFont val="Noto Sans CJK SC"/>
        <family val="2"/>
      </rPr>
      <t xml:space="preserve">진료비 부담 </t>
    </r>
    <r>
      <rPr>
        <b val="true"/>
        <sz val="9"/>
        <rFont val="Arial"/>
        <family val="0"/>
        <charset val="1"/>
      </rPr>
      <t xml:space="preserve">82.9%</t>
    </r>
  </si>
  <si>
    <t xml:space="preserve">stat_cost_burden</t>
  </si>
  <si>
    <r>
      <rPr>
        <sz val="9"/>
        <rFont val="Noto Sans CJK SC"/>
        <family val="2"/>
      </rPr>
      <t xml:space="preserve">진료비 부담 체감 </t>
    </r>
    <r>
      <rPr>
        <sz val="9"/>
        <rFont val="Arial"/>
        <family val="0"/>
        <charset val="1"/>
      </rPr>
      <t xml:space="preserve">82.9%</t>
    </r>
  </si>
  <si>
    <r>
      <rPr>
        <sz val="9"/>
        <rFont val="Noto Sans CJK SC"/>
        <family val="2"/>
      </rPr>
      <t xml:space="preserve">불신 실태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정보</t>
    </r>
    <r>
      <rPr>
        <sz val="9"/>
        <rFont val="Arial"/>
        <family val="0"/>
        <charset val="1"/>
      </rPr>
      <t xml:space="preserve">)</t>
    </r>
  </si>
  <si>
    <t xml:space="preserve">부작용 설명 부족</t>
  </si>
  <si>
    <t xml:space="preserve">stat_side_effect_gap</t>
  </si>
  <si>
    <r>
      <rPr>
        <sz val="9"/>
        <rFont val="Noto Sans CJK SC"/>
        <family val="2"/>
      </rPr>
      <t xml:space="preserve">치료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부작용 설명 부족 지적 비율</t>
    </r>
    <r>
      <rPr>
        <sz val="9"/>
        <rFont val="Arial"/>
        <family val="0"/>
        <charset val="1"/>
      </rPr>
      <t xml:space="preserve">(%)</t>
    </r>
  </si>
  <si>
    <t xml:space="preserve">정보 비대칭</t>
  </si>
  <si>
    <t xml:space="preserve">보호자–수의사 간 정보 격차 — 문제 정의 근거</t>
  </si>
  <si>
    <t xml:space="preserve">사고 시 입증 한계</t>
  </si>
  <si>
    <t xml:space="preserve">보호자 과실 입증 곤란 — 문제 정의 근거</t>
  </si>
  <si>
    <t xml:space="preserve">전문어 과다 사용</t>
  </si>
  <si>
    <t xml:space="preserve">jargon_rate</t>
  </si>
  <si>
    <r>
      <rPr>
        <sz val="9"/>
        <rFont val="Noto Sans CJK SC"/>
        <family val="2"/>
      </rPr>
      <t xml:space="preserve">리포트 내 전문어 비율 — 자사 측정 지표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</si>
  <si>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불확실성 설명 부족</t>
  </si>
  <si>
    <t xml:space="preserve">uncertainty_stated_yn</t>
  </si>
  <si>
    <r>
      <rPr>
        <sz val="9"/>
        <rFont val="Noto Sans CJK SC"/>
        <family val="2"/>
      </rPr>
      <t xml:space="preserve">불확실성 문구 포함 여부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</si>
  <si>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진료기록 접근 제약</t>
  </si>
  <si>
    <t xml:space="preserve">기록부 교부 의무 부재 — 문제 정의 근거</t>
  </si>
  <si>
    <t xml:space="preserve">신뢰의 실제 구조</t>
  </si>
  <si>
    <r>
      <rPr>
        <b val="true"/>
        <sz val="9"/>
        <rFont val="Noto Sans CJK SC"/>
        <family val="2"/>
      </rPr>
      <t xml:space="preserve">실력 신뢰 </t>
    </r>
    <r>
      <rPr>
        <b val="true"/>
        <sz val="9"/>
        <rFont val="Arial"/>
        <family val="0"/>
        <charset val="1"/>
      </rPr>
      <t xml:space="preserve">85~90%</t>
    </r>
  </si>
  <si>
    <t xml:space="preserve">stat_skill_trust</t>
  </si>
  <si>
    <r>
      <rPr>
        <sz val="9"/>
        <rFont val="Noto Sans CJK SC"/>
        <family val="2"/>
      </rPr>
      <t xml:space="preserve">수의사 전문성 신뢰도 </t>
    </r>
    <r>
      <rPr>
        <sz val="9"/>
        <rFont val="Arial"/>
        <family val="0"/>
        <charset val="1"/>
      </rPr>
      <t xml:space="preserve">85~90%</t>
    </r>
  </si>
  <si>
    <t xml:space="preserve">소통 부재가 원인</t>
  </si>
  <si>
    <t xml:space="preserve">분쟁의 원인은 소통 부재 — 서비스 명분의 핵심 근거</t>
  </si>
  <si>
    <r>
      <rPr>
        <b val="true"/>
        <sz val="9"/>
        <rFont val="Noto Sans CJK SC"/>
        <family val="2"/>
      </rPr>
      <t xml:space="preserve">오진 분쟁 </t>
    </r>
    <r>
      <rPr>
        <b val="true"/>
        <sz val="9"/>
        <rFont val="Arial"/>
        <family val="0"/>
        <charset val="1"/>
      </rPr>
      <t xml:space="preserve">10.2%</t>
    </r>
  </si>
  <si>
    <t xml:space="preserve">stat_misdx_dispute</t>
  </si>
  <si>
    <r>
      <rPr>
        <sz val="9"/>
        <rFont val="Noto Sans CJK SC"/>
        <family val="2"/>
      </rPr>
      <t xml:space="preserve">의료분쟁 중 오진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진단미흡 </t>
    </r>
    <r>
      <rPr>
        <sz val="9"/>
        <rFont val="Arial"/>
        <family val="0"/>
        <charset val="1"/>
      </rPr>
      <t xml:space="preserve">10.2%</t>
    </r>
  </si>
  <si>
    <t xml:space="preserve">실력 아닌 전달 방식</t>
  </si>
  <si>
    <t xml:space="preserve">신뢰 붕괴의 본질은 전달 방식 — 포지셔닝 준거</t>
  </si>
  <si>
    <t xml:space="preserve">병원 이탈 사유</t>
  </si>
  <si>
    <t xml:space="preserve">churn_reason_cd</t>
  </si>
  <si>
    <r>
      <rPr>
        <sz val="9"/>
        <rFont val="Noto Sans CJK SC"/>
        <family val="2"/>
      </rPr>
      <t xml:space="preserve">보호자 이탈 사유 코드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자사 수집 대상</t>
    </r>
  </si>
  <si>
    <t xml:space="preserve">재방문 중단 지점</t>
  </si>
  <si>
    <t xml:space="preserve">dropoff_stage_cd</t>
  </si>
  <si>
    <r>
      <rPr>
        <sz val="9"/>
        <rFont val="Noto Sans CJK SC"/>
        <family val="2"/>
      </rPr>
      <t xml:space="preserve">재방문 퍼널 이탈 단계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</si>
  <si>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악순환 루프</t>
  </si>
  <si>
    <t xml:space="preserve">수의사 과도한 업무</t>
  </si>
  <si>
    <t xml:space="preserve">vet_workload_hours</t>
  </si>
  <si>
    <r>
      <rPr>
        <sz val="9"/>
        <rFont val="Noto Sans CJK SC"/>
        <family val="2"/>
      </rPr>
      <t xml:space="preserve">수의사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인 일 업무시간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</si>
  <si>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심층상담 시간 부족</t>
  </si>
  <si>
    <t xml:space="preserve">consult_minutes</t>
  </si>
  <si>
    <r>
      <rPr>
        <sz val="9"/>
        <rFont val="Noto Sans CJK SC"/>
        <family val="2"/>
      </rPr>
      <t xml:space="preserve">케이스당 상담 시간 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</si>
  <si>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설명 도구 부재</t>
  </si>
  <si>
    <t xml:space="preserve">진료실 설명 도구 부재 — 문제 정의 근거</t>
  </si>
  <si>
    <r>
      <rPr>
        <b val="true"/>
        <sz val="9"/>
        <rFont val="Noto Sans CJK SC"/>
        <family val="2"/>
      </rPr>
      <t xml:space="preserve">흑백 </t>
    </r>
    <r>
      <rPr>
        <b val="true"/>
        <sz val="9"/>
        <rFont val="Arial"/>
        <family val="0"/>
        <charset val="1"/>
      </rPr>
      <t xml:space="preserve">X-ray </t>
    </r>
    <r>
      <rPr>
        <b val="true"/>
        <sz val="9"/>
        <rFont val="Noto Sans CJK SC"/>
        <family val="2"/>
      </rPr>
      <t xml:space="preserve">구두설명</t>
    </r>
  </si>
  <si>
    <r>
      <rPr>
        <sz val="9"/>
        <rFont val="Noto Sans CJK SC"/>
        <family val="2"/>
      </rPr>
      <t xml:space="preserve">원본 영상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구두 설명에만 의존 — 문제 정의 근거</t>
    </r>
  </si>
  <si>
    <t xml:space="preserve">보호자 이해 불가</t>
  </si>
  <si>
    <t xml:space="preserve">understand_low_rate</t>
  </si>
  <si>
    <r>
      <rPr>
        <sz val="9"/>
        <rFont val="Noto Sans CJK SC"/>
        <family val="2"/>
      </rPr>
      <t xml:space="preserve">이해도 자가평가 하위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</si>
  <si>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불만 누적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이탈</t>
    </r>
  </si>
  <si>
    <t xml:space="preserve">complaint_cnt</t>
  </si>
  <si>
    <r>
      <rPr>
        <sz val="9"/>
        <rFont val="Noto Sans CJK SC"/>
        <family val="2"/>
      </rPr>
      <t xml:space="preserve">병원별 불만 접수 건수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</si>
  <si>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업무시간 재배분</t>
  </si>
  <si>
    <r>
      <rPr>
        <b val="true"/>
        <sz val="9"/>
        <rFont val="Noto Sans CJK SC"/>
        <family val="2"/>
      </rPr>
      <t xml:space="preserve">판독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차트 </t>
    </r>
    <r>
      <rPr>
        <b val="true"/>
        <sz val="9"/>
        <rFont val="Arial"/>
        <family val="0"/>
        <charset val="1"/>
      </rPr>
      <t xml:space="preserve">60%</t>
    </r>
  </si>
  <si>
    <t xml:space="preserve">bench_read_chart_pct</t>
  </si>
  <si>
    <r>
      <rPr>
        <sz val="9"/>
        <rFont val="Noto Sans CJK SC"/>
        <family val="2"/>
      </rPr>
      <t xml:space="preserve">도입 전 판독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차트 업무 비중 </t>
    </r>
    <r>
      <rPr>
        <sz val="9"/>
        <rFont val="Arial"/>
        <family val="0"/>
        <charset val="1"/>
      </rPr>
      <t xml:space="preserve">60%</t>
    </r>
  </si>
  <si>
    <r>
      <rPr>
        <b val="true"/>
        <sz val="9"/>
        <rFont val="Noto Sans CJK SC"/>
        <family val="2"/>
      </rPr>
      <t xml:space="preserve">처치 </t>
    </r>
    <r>
      <rPr>
        <b val="true"/>
        <sz val="9"/>
        <rFont val="Arial"/>
        <family val="0"/>
        <charset val="1"/>
      </rPr>
      <t xml:space="preserve">30%</t>
    </r>
  </si>
  <si>
    <t xml:space="preserve">bench_treat_pct</t>
  </si>
  <si>
    <r>
      <rPr>
        <sz val="9"/>
        <rFont val="Noto Sans CJK SC"/>
        <family val="2"/>
      </rPr>
      <t xml:space="preserve">도입 전 처치 업무 비중 </t>
    </r>
    <r>
      <rPr>
        <sz val="9"/>
        <rFont val="Arial"/>
        <family val="0"/>
        <charset val="1"/>
      </rPr>
      <t xml:space="preserve">30%</t>
    </r>
  </si>
  <si>
    <r>
      <rPr>
        <b val="true"/>
        <sz val="9"/>
        <rFont val="Noto Sans CJK SC"/>
        <family val="2"/>
      </rPr>
      <t xml:space="preserve">설명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소통 </t>
    </r>
    <r>
      <rPr>
        <b val="true"/>
        <sz val="9"/>
        <rFont val="Arial"/>
        <family val="0"/>
        <charset val="1"/>
      </rPr>
      <t xml:space="preserve">10%</t>
    </r>
  </si>
  <si>
    <t xml:space="preserve">bench_comm_pct</t>
  </si>
  <si>
    <r>
      <rPr>
        <sz val="9"/>
        <rFont val="Noto Sans CJK SC"/>
        <family val="2"/>
      </rPr>
      <t xml:space="preserve">도입 전 설명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소통 비중 </t>
    </r>
    <r>
      <rPr>
        <sz val="9"/>
        <rFont val="Arial"/>
        <family val="0"/>
        <charset val="1"/>
      </rPr>
      <t xml:space="preserve">10%</t>
    </r>
  </si>
  <si>
    <r>
      <rPr>
        <b val="true"/>
        <sz val="9"/>
        <rFont val="Arial"/>
        <family val="0"/>
        <charset val="1"/>
      </rPr>
      <t xml:space="preserve">AI </t>
    </r>
    <r>
      <rPr>
        <b val="true"/>
        <sz val="9"/>
        <rFont val="Noto Sans CJK SC"/>
        <family val="2"/>
      </rPr>
      <t xml:space="preserve">대체 </t>
    </r>
    <r>
      <rPr>
        <b val="true"/>
        <sz val="9"/>
        <rFont val="Arial"/>
        <family val="0"/>
        <charset val="1"/>
      </rPr>
      <t xml:space="preserve">15%</t>
    </r>
  </si>
  <si>
    <t xml:space="preserve">target_ai_pct</t>
  </si>
  <si>
    <r>
      <rPr>
        <sz val="9"/>
        <rFont val="Noto Sans CJK SC"/>
        <family val="2"/>
      </rPr>
      <t xml:space="preserve">도입 후 </t>
    </r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대체 목표 비중 </t>
    </r>
    <r>
      <rPr>
        <sz val="9"/>
        <rFont val="Arial"/>
        <family val="0"/>
        <charset val="1"/>
      </rPr>
      <t xml:space="preserve">15%</t>
    </r>
  </si>
  <si>
    <r>
      <rPr>
        <b val="true"/>
        <sz val="9"/>
        <rFont val="Noto Sans CJK SC"/>
        <family val="2"/>
      </rPr>
      <t xml:space="preserve">심층상담 </t>
    </r>
    <r>
      <rPr>
        <b val="true"/>
        <sz val="9"/>
        <rFont val="Arial"/>
        <family val="0"/>
        <charset val="1"/>
      </rPr>
      <t xml:space="preserve">50%</t>
    </r>
  </si>
  <si>
    <t xml:space="preserve">target_comm_pct</t>
  </si>
  <si>
    <r>
      <rPr>
        <sz val="9"/>
        <rFont val="Noto Sans CJK SC"/>
        <family val="2"/>
      </rPr>
      <t xml:space="preserve">도입 후 심층상담 목표 비중 </t>
    </r>
    <r>
      <rPr>
        <sz val="9"/>
        <rFont val="Arial"/>
        <family val="0"/>
        <charset val="1"/>
      </rPr>
      <t xml:space="preserve">50%</t>
    </r>
  </si>
  <si>
    <t xml:space="preserve">상담시간 증가분</t>
  </si>
  <si>
    <t xml:space="preserve">consult_time_delta</t>
  </si>
  <si>
    <r>
      <rPr>
        <sz val="9"/>
        <rFont val="Noto Sans CJK SC"/>
        <family val="2"/>
      </rPr>
      <t xml:space="preserve">도입 전후 상담 시간 증가 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</si>
  <si>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소통 투명화 효과</t>
  </si>
  <si>
    <t xml:space="preserve">쉬운 언어 번역</t>
  </si>
  <si>
    <t xml:space="preserve">plain_lang_score</t>
  </si>
  <si>
    <r>
      <rPr>
        <sz val="9"/>
        <rFont val="Noto Sans CJK SC"/>
        <family val="2"/>
      </rPr>
      <t xml:space="preserve">평이성 점수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리포트 품질 지표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</si>
  <si>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시각 자료 제공</t>
  </si>
  <si>
    <t xml:space="preserve">visual_asset_cnt</t>
  </si>
  <si>
    <r>
      <rPr>
        <sz val="9"/>
        <rFont val="Noto Sans CJK SC"/>
        <family val="2"/>
      </rPr>
      <t xml:space="preserve">리포트 내 시각 자료 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</si>
  <si>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진료비 사전 명시</t>
  </si>
  <si>
    <t xml:space="preserve">est_cost_range</t>
  </si>
  <si>
    <r>
      <rPr>
        <sz val="9"/>
        <rFont val="Noto Sans CJK SC"/>
        <family val="2"/>
      </rPr>
      <t xml:space="preserve">최저</t>
    </r>
    <r>
      <rPr>
        <sz val="9"/>
        <rFont val="Arial"/>
        <family val="0"/>
        <charset val="1"/>
      </rPr>
      <t xml:space="preserve">~</t>
    </r>
    <r>
      <rPr>
        <sz val="9"/>
        <rFont val="Noto Sans CJK SC"/>
        <family val="2"/>
      </rPr>
      <t xml:space="preserve">최고 예상 진료비 범위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사전 고지용</t>
    </r>
    <r>
      <rPr>
        <sz val="9"/>
        <rFont val="Arial"/>
        <family val="0"/>
        <charset val="1"/>
      </rPr>
      <t xml:space="preserve">)</t>
    </r>
  </si>
  <si>
    <t xml:space="preserve">처치 이유 명시</t>
  </si>
  <si>
    <t xml:space="preserve">proc_reason_text</t>
  </si>
  <si>
    <t xml:space="preserve">처치 필요성 설명 문구</t>
  </si>
  <si>
    <t xml:space="preserve">이해도 향상</t>
  </si>
  <si>
    <t xml:space="preserve">understand_delta</t>
  </si>
  <si>
    <r>
      <rPr>
        <sz val="9"/>
        <rFont val="Noto Sans CJK SC"/>
        <family val="2"/>
      </rPr>
      <t xml:space="preserve">도입 전후 이해도 점수 변화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</si>
  <si>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재방문율 상승</t>
  </si>
  <si>
    <t xml:space="preserve">revisit_rate_delta</t>
  </si>
  <si>
    <r>
      <rPr>
        <sz val="9"/>
        <rFont val="Noto Sans CJK SC"/>
        <family val="2"/>
      </rPr>
      <t xml:space="preserve">도입 전후 재방문율 변화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</si>
  <si>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경쟁 서비스</t>
  </si>
  <si>
    <r>
      <rPr>
        <b val="true"/>
        <sz val="9"/>
        <rFont val="Arial"/>
        <family val="0"/>
        <charset val="1"/>
      </rPr>
      <t xml:space="preserve">SKT </t>
    </r>
    <r>
      <rPr>
        <b val="true"/>
        <sz val="9"/>
        <rFont val="Noto Sans CJK SC"/>
        <family val="2"/>
      </rPr>
      <t xml:space="preserve">엑스칼리버</t>
    </r>
  </si>
  <si>
    <t xml:space="preserve">competitor_cd = SKT</t>
  </si>
  <si>
    <r>
      <rPr>
        <sz val="9"/>
        <rFont val="Noto Sans CJK SC"/>
        <family val="2"/>
      </rPr>
      <t xml:space="preserve">경쟁사 마스터의 코드값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국내 영상판독 점유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위</t>
    </r>
  </si>
  <si>
    <r>
      <rPr>
        <b val="true"/>
        <sz val="9"/>
        <rFont val="Noto Sans CJK SC"/>
        <family val="2"/>
      </rPr>
      <t xml:space="preserve">우리엔 </t>
    </r>
    <r>
      <rPr>
        <b val="true"/>
        <sz val="9"/>
        <rFont val="Arial"/>
        <family val="0"/>
        <charset val="1"/>
      </rPr>
      <t xml:space="preserve">AI</t>
    </r>
  </si>
  <si>
    <t xml:space="preserve">competitor_cd = VTN</t>
  </si>
  <si>
    <r>
      <rPr>
        <sz val="9"/>
        <rFont val="Noto Sans CJK SC"/>
        <family val="2"/>
      </rPr>
      <t xml:space="preserve">경쟁사 마스터의 코드값 </t>
    </r>
    <r>
      <rPr>
        <sz val="9"/>
        <rFont val="Arial"/>
        <family val="0"/>
        <charset val="1"/>
      </rPr>
      <t xml:space="preserve">· PMS·EMR </t>
    </r>
    <r>
      <rPr>
        <sz val="9"/>
        <rFont val="Noto Sans CJK SC"/>
        <family val="2"/>
      </rPr>
      <t xml:space="preserve">기반</t>
    </r>
  </si>
  <si>
    <t xml:space="preserve">인투펫 리포트</t>
  </si>
  <si>
    <t xml:space="preserve">competitor_cd = ICN</t>
  </si>
  <si>
    <r>
      <rPr>
        <sz val="9"/>
        <rFont val="Noto Sans CJK SC"/>
        <family val="2"/>
      </rPr>
      <t xml:space="preserve">경쟁사 마스터의 코드값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보호자 앱 리포트</t>
    </r>
  </si>
  <si>
    <t xml:space="preserve">티티케어 벳</t>
  </si>
  <si>
    <t xml:space="preserve">competitor_cd = AFP</t>
  </si>
  <si>
    <r>
      <rPr>
        <sz val="9"/>
        <rFont val="Noto Sans CJK SC"/>
        <family val="2"/>
      </rPr>
      <t xml:space="preserve">경쟁사 마스터의 코드값 </t>
    </r>
    <r>
      <rPr>
        <sz val="9"/>
        <rFont val="Arial"/>
        <family val="0"/>
        <charset val="1"/>
      </rPr>
      <t xml:space="preserve">· B2C→B2B </t>
    </r>
    <r>
      <rPr>
        <sz val="9"/>
        <rFont val="Noto Sans CJK SC"/>
        <family val="2"/>
      </rPr>
      <t xml:space="preserve">확장</t>
    </r>
  </si>
  <si>
    <r>
      <rPr>
        <b val="true"/>
        <sz val="9"/>
        <rFont val="Noto Sans CJK SC"/>
        <family val="2"/>
      </rPr>
      <t xml:space="preserve">건당 과금 </t>
    </r>
    <r>
      <rPr>
        <b val="true"/>
        <sz val="9"/>
        <rFont val="Arial"/>
        <family val="0"/>
        <charset val="1"/>
      </rPr>
      <t xml:space="preserve">vs </t>
    </r>
    <r>
      <rPr>
        <b val="true"/>
        <sz val="9"/>
        <rFont val="Noto Sans CJK SC"/>
        <family val="2"/>
      </rPr>
      <t xml:space="preserve">구독</t>
    </r>
  </si>
  <si>
    <t xml:space="preserve">pricing_model_cd</t>
  </si>
  <si>
    <r>
      <rPr>
        <sz val="9"/>
        <rFont val="Arial"/>
        <family val="0"/>
        <charset val="1"/>
      </rPr>
      <t xml:space="preserve">PU </t>
    </r>
    <r>
      <rPr>
        <sz val="9"/>
        <rFont val="Noto Sans CJK SC"/>
        <family val="2"/>
      </rPr>
      <t xml:space="preserve">건당 </t>
    </r>
    <r>
      <rPr>
        <sz val="9"/>
        <rFont val="Arial"/>
        <family val="0"/>
        <charset val="1"/>
      </rPr>
      <t xml:space="preserve">/ SB </t>
    </r>
    <r>
      <rPr>
        <sz val="9"/>
        <rFont val="Noto Sans CJK SC"/>
        <family val="2"/>
      </rPr>
      <t xml:space="preserve">구독 </t>
    </r>
    <r>
      <rPr>
        <sz val="9"/>
        <rFont val="Arial"/>
        <family val="0"/>
        <charset val="1"/>
      </rPr>
      <t xml:space="preserve">/ BD </t>
    </r>
    <r>
      <rPr>
        <sz val="9"/>
        <rFont val="Noto Sans CJK SC"/>
        <family val="2"/>
      </rPr>
      <t xml:space="preserve">번들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경쟁사 마스터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</si>
  <si>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EMR </t>
    </r>
    <r>
      <rPr>
        <b val="true"/>
        <sz val="9"/>
        <rFont val="Noto Sans CJK SC"/>
        <family val="2"/>
      </rPr>
      <t xml:space="preserve">연동 여부</t>
    </r>
  </si>
  <si>
    <t xml:space="preserve">emr_link_yn</t>
  </si>
  <si>
    <r>
      <rPr>
        <sz val="9"/>
        <rFont val="Arial"/>
        <family val="0"/>
        <charset val="1"/>
      </rPr>
      <t xml:space="preserve">Y / N — </t>
    </r>
    <r>
      <rPr>
        <sz val="9"/>
        <rFont val="Noto Sans CJK SC"/>
        <family val="2"/>
      </rPr>
      <t xml:space="preserve">자사 차별화의 핵심 비교 축</t>
    </r>
  </si>
  <si>
    <t xml:space="preserve">시장 흐름</t>
  </si>
  <si>
    <r>
      <rPr>
        <b val="true"/>
        <sz val="9"/>
        <rFont val="Noto Sans CJK SC"/>
        <family val="2"/>
      </rPr>
      <t xml:space="preserve">글로벌 도입률 </t>
    </r>
    <r>
      <rPr>
        <b val="true"/>
        <sz val="9"/>
        <rFont val="Arial"/>
        <family val="0"/>
        <charset val="1"/>
      </rPr>
      <t xml:space="preserve">30%</t>
    </r>
  </si>
  <si>
    <t xml:space="preserve">stat_global_adopt</t>
  </si>
  <si>
    <r>
      <rPr>
        <sz val="9"/>
        <rFont val="Noto Sans CJK SC"/>
        <family val="2"/>
      </rPr>
      <t xml:space="preserve">글로벌 수의사 </t>
    </r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도입률 </t>
    </r>
    <r>
      <rPr>
        <sz val="9"/>
        <rFont val="Arial"/>
        <family val="0"/>
        <charset val="1"/>
      </rPr>
      <t xml:space="preserve">30%</t>
    </r>
  </si>
  <si>
    <r>
      <rPr>
        <b val="true"/>
        <sz val="9"/>
        <rFont val="Noto Sans CJK SC"/>
        <family val="2"/>
      </rPr>
      <t xml:space="preserve">연평균 </t>
    </r>
    <r>
      <rPr>
        <b val="true"/>
        <sz val="9"/>
        <rFont val="Arial"/>
        <family val="0"/>
        <charset val="1"/>
      </rPr>
      <t xml:space="preserve">7% </t>
    </r>
    <r>
      <rPr>
        <b val="true"/>
        <sz val="9"/>
        <rFont val="Noto Sans CJK SC"/>
        <family val="2"/>
      </rPr>
      <t xml:space="preserve">성장</t>
    </r>
  </si>
  <si>
    <t xml:space="preserve">stat_market_cagr</t>
  </si>
  <si>
    <r>
      <rPr>
        <sz val="9"/>
        <rFont val="Noto Sans CJK SC"/>
        <family val="2"/>
      </rPr>
      <t xml:space="preserve">정밀 진단 시장 연평균 성장률 </t>
    </r>
    <r>
      <rPr>
        <sz val="9"/>
        <rFont val="Arial"/>
        <family val="0"/>
        <charset val="1"/>
      </rPr>
      <t xml:space="preserve">7%</t>
    </r>
  </si>
  <si>
    <r>
      <rPr>
        <b val="true"/>
        <sz val="9"/>
        <rFont val="Arial"/>
        <family val="0"/>
        <charset val="1"/>
      </rPr>
      <t xml:space="preserve">WSAVA </t>
    </r>
    <r>
      <rPr>
        <b val="true"/>
        <sz val="9"/>
        <rFont val="Noto Sans CJK SC"/>
        <family val="2"/>
      </rPr>
      <t xml:space="preserve">소통 역량</t>
    </r>
  </si>
  <si>
    <r>
      <rPr>
        <sz val="9"/>
        <rFont val="Arial"/>
        <family val="0"/>
        <charset val="1"/>
      </rPr>
      <t xml:space="preserve">WSAVA </t>
    </r>
    <r>
      <rPr>
        <sz val="9"/>
        <rFont val="Noto Sans CJK SC"/>
        <family val="2"/>
      </rPr>
      <t xml:space="preserve">비의료적 커뮤니케이션 역량 강조 — 포지셔닝 준거</t>
    </r>
  </si>
  <si>
    <r>
      <rPr>
        <b val="true"/>
        <sz val="9"/>
        <rFont val="Noto Sans CJK SC"/>
        <family val="2"/>
      </rPr>
      <t xml:space="preserve">해외 진출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현지화</t>
    </r>
  </si>
  <si>
    <t xml:space="preserve">overseas_country_cd</t>
  </si>
  <si>
    <r>
      <rPr>
        <sz val="9"/>
        <rFont val="Noto Sans CJK SC"/>
        <family val="2"/>
      </rPr>
      <t xml:space="preserve">경쟁사 진출 국가 코드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경쟁사 마스터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</si>
  <si>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B2B2C </t>
    </r>
    <r>
      <rPr>
        <b val="true"/>
        <sz val="9"/>
        <rFont val="Noto Sans CJK SC"/>
        <family val="2"/>
      </rPr>
      <t xml:space="preserve">생태계</t>
    </r>
  </si>
  <si>
    <r>
      <rPr>
        <sz val="9"/>
        <rFont val="Noto Sans CJK SC"/>
        <family val="2"/>
      </rPr>
      <t xml:space="preserve">병원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보호자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플랫폼 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자 구조 — 사업모델 준거</t>
    </r>
  </si>
  <si>
    <r>
      <rPr>
        <b val="true"/>
        <sz val="9"/>
        <rFont val="Noto Sans CJK SC"/>
        <family val="2"/>
      </rPr>
      <t xml:space="preserve">락인</t>
    </r>
    <r>
      <rPr>
        <b val="true"/>
        <sz val="9"/>
        <rFont val="Arial"/>
        <family val="0"/>
        <charset val="1"/>
      </rPr>
      <t xml:space="preserve">(Lock-in) </t>
    </r>
    <r>
      <rPr>
        <b val="true"/>
        <sz val="9"/>
        <rFont val="Noto Sans CJK SC"/>
        <family val="2"/>
      </rPr>
      <t xml:space="preserve">효과</t>
    </r>
  </si>
  <si>
    <t xml:space="preserve">lockin_index</t>
  </si>
  <si>
    <r>
      <rPr>
        <sz val="9"/>
        <rFont val="Noto Sans CJK SC"/>
        <family val="2"/>
      </rPr>
      <t xml:space="preserve">리텐션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전환비용 기반 락인 지수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</si>
  <si>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⑪</t>
  </si>
  <si>
    <r>
      <rPr>
        <sz val="9"/>
        <rFont val="Noto Sans CJK SC"/>
        <family val="2"/>
      </rPr>
      <t xml:space="preserve">법제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규제 리스크</t>
    </r>
  </si>
  <si>
    <r>
      <rPr>
        <sz val="9"/>
        <rFont val="Noto Sans CJK SC"/>
        <family val="2"/>
      </rPr>
      <t xml:space="preserve">의료기기 허가</t>
    </r>
    <r>
      <rPr>
        <sz val="9"/>
        <rFont val="Arial"/>
        <family val="0"/>
        <charset val="1"/>
      </rPr>
      <t xml:space="preserve">(SaMD)</t>
    </r>
  </si>
  <si>
    <t xml:space="preserve">검역본부 품목허가</t>
  </si>
  <si>
    <t xml:space="preserve">samd_license_no</t>
  </si>
  <si>
    <r>
      <rPr>
        <sz val="9"/>
        <rFont val="Noto Sans CJK SC"/>
        <family val="2"/>
      </rPr>
      <t xml:space="preserve">동물용 의료기기 품목허가 번호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미취득 시 </t>
    </r>
    <r>
      <rPr>
        <sz val="9"/>
        <rFont val="Arial"/>
        <family val="0"/>
        <charset val="1"/>
      </rPr>
      <t xml:space="preserve">NULL</t>
    </r>
  </si>
  <si>
    <r>
      <rPr>
        <b val="true"/>
        <sz val="9"/>
        <rFont val="Noto Sans CJK SC"/>
        <family val="2"/>
      </rPr>
      <t xml:space="preserve">진단보조</t>
    </r>
    <r>
      <rPr>
        <b val="true"/>
        <sz val="9"/>
        <rFont val="Arial"/>
        <family val="0"/>
        <charset val="1"/>
      </rPr>
      <t xml:space="preserve">SW </t>
    </r>
    <r>
      <rPr>
        <b val="true"/>
        <sz val="9"/>
        <rFont val="Noto Sans CJK SC"/>
        <family val="2"/>
      </rPr>
      <t xml:space="preserve">분류</t>
    </r>
  </si>
  <si>
    <t xml:space="preserve">samd_category_cd</t>
  </si>
  <si>
    <r>
      <rPr>
        <sz val="9"/>
        <rFont val="Noto Sans CJK SC"/>
        <family val="2"/>
      </rPr>
      <t xml:space="preserve">의료영상검출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진단보조소프트웨어 분류 코드</t>
    </r>
  </si>
  <si>
    <t xml:space="preserve">소프트웨어 등급 분류</t>
  </si>
  <si>
    <t xml:space="preserve">samd_grade_cd</t>
  </si>
  <si>
    <r>
      <rPr>
        <sz val="9"/>
        <rFont val="Noto Sans CJK SC"/>
        <family val="2"/>
      </rPr>
      <t xml:space="preserve">위해도 등급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심사 요건 결정</t>
    </r>
  </si>
  <si>
    <t xml:space="preserve">임상 유효성 입증</t>
  </si>
  <si>
    <t xml:space="preserve">clinical_evidence_path</t>
  </si>
  <si>
    <t xml:space="preserve">임상 유효성 입증 자료 경로</t>
  </si>
  <si>
    <t xml:space="preserve">허가 심사 기간</t>
  </si>
  <si>
    <t xml:space="preserve">license_review_days</t>
  </si>
  <si>
    <r>
      <rPr>
        <sz val="9"/>
        <rFont val="Noto Sans CJK SC"/>
        <family val="2"/>
      </rPr>
      <t xml:space="preserve">신청</t>
    </r>
    <r>
      <rPr>
        <sz val="9"/>
        <rFont val="Arial"/>
        <family val="0"/>
        <charset val="1"/>
      </rPr>
      <t xml:space="preserve">~</t>
    </r>
    <r>
      <rPr>
        <sz val="9"/>
        <rFont val="Noto Sans CJK SC"/>
        <family val="2"/>
      </rPr>
      <t xml:space="preserve">허가 소요 일수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</si>
  <si>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미허가 유통 제재</t>
  </si>
  <si>
    <t xml:space="preserve">미허가 알고리즘 진료 활용 금지 — 설계 준거</t>
  </si>
  <si>
    <r>
      <rPr>
        <sz val="9"/>
        <rFont val="Noto Sans CJK SC"/>
        <family val="2"/>
      </rPr>
      <t xml:space="preserve">진료권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조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</si>
  <si>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AI </t>
    </r>
    <r>
      <rPr>
        <b val="true"/>
        <sz val="9"/>
        <rFont val="Noto Sans CJK SC"/>
        <family val="2"/>
      </rPr>
      <t xml:space="preserve">확정진단 금지</t>
    </r>
  </si>
  <si>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단독 확정 진단 금지 — 설계 준거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조</t>
    </r>
    <r>
      <rPr>
        <sz val="9"/>
        <rFont val="Arial"/>
        <family val="0"/>
        <charset val="1"/>
      </rPr>
      <t xml:space="preserve">)</t>
    </r>
  </si>
  <si>
    <t xml:space="preserve">진단 보조 한정</t>
  </si>
  <si>
    <r>
      <rPr>
        <sz val="9"/>
        <rFont val="Arial"/>
        <family val="0"/>
        <charset val="1"/>
      </rPr>
      <t xml:space="preserve">Decision Support </t>
    </r>
    <r>
      <rPr>
        <sz val="9"/>
        <rFont val="Noto Sans CJK SC"/>
        <family val="2"/>
      </rPr>
      <t xml:space="preserve">용도로만 한정 — 설계 준거</t>
    </r>
  </si>
  <si>
    <r>
      <rPr>
        <b val="true"/>
        <sz val="9"/>
        <rFont val="Noto Sans CJK SC"/>
        <family val="2"/>
      </rPr>
      <t xml:space="preserve">수의사 </t>
    </r>
    <r>
      <rPr>
        <b val="true"/>
        <sz val="9"/>
        <rFont val="Arial"/>
        <family val="0"/>
        <charset val="1"/>
      </rPr>
      <t xml:space="preserve">Sign-off</t>
    </r>
  </si>
  <si>
    <t xml:space="preserve">anls_status_cd</t>
  </si>
  <si>
    <r>
      <rPr>
        <sz val="9"/>
        <rFont val="Arial"/>
        <family val="0"/>
        <charset val="1"/>
      </rPr>
      <t xml:space="preserve">01 </t>
    </r>
    <r>
      <rPr>
        <sz val="9"/>
        <rFont val="Noto Sans CJK SC"/>
        <family val="2"/>
      </rPr>
      <t xml:space="preserve">판독대기 </t>
    </r>
    <r>
      <rPr>
        <sz val="9"/>
        <rFont val="Arial"/>
        <family val="0"/>
        <charset val="1"/>
      </rPr>
      <t xml:space="preserve">/ 02 AI</t>
    </r>
    <r>
      <rPr>
        <sz val="9"/>
        <rFont val="Noto Sans CJK SC"/>
        <family val="2"/>
      </rPr>
      <t xml:space="preserve">완료 </t>
    </r>
    <r>
      <rPr>
        <sz val="9"/>
        <rFont val="Arial"/>
        <family val="0"/>
        <charset val="1"/>
      </rPr>
      <t xml:space="preserve">/ 03 </t>
    </r>
    <r>
      <rPr>
        <sz val="9"/>
        <rFont val="Noto Sans CJK SC"/>
        <family val="2"/>
      </rPr>
      <t xml:space="preserve">수의사최종승인</t>
    </r>
  </si>
  <si>
    <t xml:space="preserve">원격 처방 금지</t>
  </si>
  <si>
    <r>
      <rPr>
        <sz val="9"/>
        <rFont val="Noto Sans CJK SC"/>
        <family val="2"/>
      </rPr>
      <t xml:space="preserve">앱 내 원격 처방 금지 — 설계 준거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조</t>
    </r>
    <r>
      <rPr>
        <sz val="9"/>
        <rFont val="Arial"/>
        <family val="0"/>
        <charset val="1"/>
      </rPr>
      <t xml:space="preserve">)</t>
    </r>
  </si>
  <si>
    <t xml:space="preserve">앱 내 치료지침 금지</t>
  </si>
  <si>
    <t xml:space="preserve">직접 치료 지침 제공 금지 — 설계 준거</t>
  </si>
  <si>
    <t xml:space="preserve">리포트 자동발송 제한</t>
  </si>
  <si>
    <t xml:space="preserve">auto_send_blocked_yn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</si>
  <si>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승인</t>
    </r>
    <r>
      <rPr>
        <sz val="9"/>
        <rFont val="Arial"/>
        <family val="0"/>
        <charset val="1"/>
      </rPr>
      <t xml:space="preserve">(03) </t>
    </r>
    <r>
      <rPr>
        <sz val="9"/>
        <rFont val="Noto Sans CJK SC"/>
        <family val="2"/>
      </rPr>
      <t xml:space="preserve">전 발송 차단 여부</t>
    </r>
  </si>
  <si>
    <r>
      <rPr>
        <sz val="9"/>
        <rFont val="Noto Sans CJK SC"/>
        <family val="2"/>
      </rPr>
      <t xml:space="preserve">사전설명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조의</t>
    </r>
    <r>
      <rPr>
        <sz val="9"/>
        <rFont val="Arial"/>
        <family val="0"/>
        <charset val="1"/>
      </rPr>
      <t xml:space="preserve">2)</t>
    </r>
  </si>
  <si>
    <t xml:space="preserve">중대진료 범위</t>
  </si>
  <si>
    <t xml:space="preserve">major_proc_cd</t>
  </si>
  <si>
    <r>
      <rPr>
        <sz val="9"/>
        <rFont val="Noto Sans CJK SC"/>
        <family val="2"/>
      </rPr>
      <t xml:space="preserve">전신마취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수혈 등 중대진료 코드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참조 테이블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</si>
  <si>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진단명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필요성</t>
    </r>
  </si>
  <si>
    <t xml:space="preserve">explain_dx_text</t>
  </si>
  <si>
    <r>
      <rPr>
        <sz val="9"/>
        <rFont val="Noto Sans CJK SC"/>
        <family val="2"/>
      </rPr>
      <t xml:space="preserve">사전설명용 진단명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필요성 문구</t>
    </r>
  </si>
  <si>
    <t xml:space="preserve">예상 진료비 고지</t>
  </si>
  <si>
    <t xml:space="preserve">est_cost_notified_yn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</si>
  <si>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사전 고지 이행 여부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19</t>
    </r>
    <r>
      <rPr>
        <sz val="9"/>
        <rFont val="Noto Sans CJK SC"/>
        <family val="2"/>
      </rPr>
      <t xml:space="preserve">조</t>
    </r>
    <r>
      <rPr>
        <sz val="9"/>
        <rFont val="Arial"/>
        <family val="0"/>
        <charset val="1"/>
      </rPr>
      <t xml:space="preserve">)</t>
    </r>
  </si>
  <si>
    <t xml:space="preserve">치료 리스크 설명</t>
  </si>
  <si>
    <t xml:space="preserve">risk_explain_text</t>
  </si>
  <si>
    <t xml:space="preserve">치료 위험성 설명 문구</t>
  </si>
  <si>
    <t xml:space="preserve">서면 동의</t>
  </si>
  <si>
    <t xml:space="preserve">written_consent_id</t>
  </si>
  <si>
    <r>
      <rPr>
        <sz val="9"/>
        <rFont val="Noto Sans CJK SC"/>
        <family val="2"/>
      </rPr>
      <t xml:space="preserve">서면 동의서 식별자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조의</t>
    </r>
    <r>
      <rPr>
        <sz val="9"/>
        <rFont val="Arial"/>
        <family val="0"/>
        <charset val="1"/>
      </rPr>
      <t xml:space="preserve">2)</t>
    </r>
  </si>
  <si>
    <t xml:space="preserve">설명 이력 보관</t>
  </si>
  <si>
    <t xml:space="preserve">explain_log_json</t>
  </si>
  <si>
    <r>
      <rPr>
        <sz val="9"/>
        <rFont val="Noto Sans CJK SC"/>
        <family val="2"/>
      </rPr>
      <t xml:space="preserve">설명 일시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내용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수신자 이력 — 분쟁 방어 근거</t>
    </r>
  </si>
  <si>
    <r>
      <rPr>
        <sz val="9"/>
        <rFont val="Noto Sans CJK SC"/>
        <family val="2"/>
      </rPr>
      <t xml:space="preserve">정보공개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19</t>
    </r>
    <r>
      <rPr>
        <sz val="9"/>
        <rFont val="Noto Sans CJK SC"/>
        <family val="2"/>
      </rPr>
      <t xml:space="preserve">조</t>
    </r>
    <r>
      <rPr>
        <sz val="9"/>
        <rFont val="Arial"/>
        <family val="0"/>
        <charset val="1"/>
      </rPr>
      <t xml:space="preserve">)</t>
    </r>
  </si>
  <si>
    <t xml:space="preserve">주요 진료비 게시</t>
  </si>
  <si>
    <t xml:space="preserve">price_posting_yn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</si>
  <si>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병원별 게시 이행 여부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19</t>
    </r>
    <r>
      <rPr>
        <sz val="9"/>
        <rFont val="Noto Sans CJK SC"/>
        <family val="2"/>
      </rPr>
      <t xml:space="preserve">조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</si>
  <si>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사전고지 부재 </t>
    </r>
    <r>
      <rPr>
        <b val="true"/>
        <sz val="9"/>
        <rFont val="Arial"/>
        <family val="0"/>
        <charset val="1"/>
      </rPr>
      <t xml:space="preserve">16.8%</t>
    </r>
  </si>
  <si>
    <t xml:space="preserve">stat_no_notice</t>
  </si>
  <si>
    <r>
      <rPr>
        <sz val="9"/>
        <rFont val="Noto Sans CJK SC"/>
        <family val="2"/>
      </rPr>
      <t xml:space="preserve">진료비 사전 고지 부재 불만 </t>
    </r>
    <r>
      <rPr>
        <sz val="9"/>
        <rFont val="Arial"/>
        <family val="0"/>
        <charset val="1"/>
      </rPr>
      <t xml:space="preserve">16.8%</t>
    </r>
  </si>
  <si>
    <r>
      <rPr>
        <b val="true"/>
        <sz val="9"/>
        <rFont val="Noto Sans CJK SC"/>
        <family val="2"/>
      </rPr>
      <t xml:space="preserve">기대가 대비 </t>
    </r>
    <r>
      <rPr>
        <b val="true"/>
        <sz val="9"/>
        <rFont val="Arial"/>
        <family val="0"/>
        <charset val="1"/>
      </rPr>
      <t xml:space="preserve">1.87</t>
    </r>
    <r>
      <rPr>
        <b val="true"/>
        <sz val="9"/>
        <rFont val="Noto Sans CJK SC"/>
        <family val="2"/>
      </rPr>
      <t xml:space="preserve">배</t>
    </r>
  </si>
  <si>
    <t xml:space="preserve">stat_price_ratio</t>
  </si>
  <si>
    <r>
      <rPr>
        <sz val="9"/>
        <rFont val="Noto Sans CJK SC"/>
        <family val="2"/>
      </rPr>
      <t xml:space="preserve">기대가격 대비 실제 지불가격 </t>
    </r>
    <r>
      <rPr>
        <sz val="9"/>
        <rFont val="Arial"/>
        <family val="0"/>
        <charset val="1"/>
      </rPr>
      <t xml:space="preserve">1.87</t>
    </r>
    <r>
      <rPr>
        <sz val="9"/>
        <rFont val="Noto Sans CJK SC"/>
        <family val="2"/>
      </rPr>
      <t xml:space="preserve">배</t>
    </r>
  </si>
  <si>
    <r>
      <rPr>
        <b val="true"/>
        <sz val="9"/>
        <rFont val="Noto Sans CJK SC"/>
        <family val="2"/>
      </rPr>
      <t xml:space="preserve">가격공정성 </t>
    </r>
    <r>
      <rPr>
        <b val="true"/>
        <sz val="9"/>
        <rFont val="Arial"/>
        <family val="0"/>
        <charset val="1"/>
      </rPr>
      <t xml:space="preserve">52.0</t>
    </r>
    <r>
      <rPr>
        <b val="true"/>
        <sz val="9"/>
        <rFont val="Noto Sans CJK SC"/>
        <family val="2"/>
      </rPr>
      <t xml:space="preserve">점</t>
    </r>
  </si>
  <si>
    <t xml:space="preserve">stat_price_fairness</t>
  </si>
  <si>
    <r>
      <rPr>
        <sz val="9"/>
        <rFont val="Arial"/>
        <family val="0"/>
        <charset val="1"/>
      </rPr>
      <t xml:space="preserve">KCMEI </t>
    </r>
    <r>
      <rPr>
        <sz val="9"/>
        <rFont val="Noto Sans CJK SC"/>
        <family val="2"/>
      </rPr>
      <t xml:space="preserve">가격공정성 </t>
    </r>
    <r>
      <rPr>
        <sz val="9"/>
        <rFont val="Arial"/>
        <family val="0"/>
        <charset val="1"/>
      </rPr>
      <t xml:space="preserve">52.0</t>
    </r>
    <r>
      <rPr>
        <sz val="9"/>
        <rFont val="Noto Sans CJK SC"/>
        <family val="2"/>
      </rPr>
      <t xml:space="preserve">점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경고 영역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</si>
  <si>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과잉진료 의심 </t>
    </r>
    <r>
      <rPr>
        <b val="true"/>
        <sz val="9"/>
        <rFont val="Arial"/>
        <family val="0"/>
        <charset val="1"/>
      </rPr>
      <t xml:space="preserve">14.2%</t>
    </r>
  </si>
  <si>
    <t xml:space="preserve">stat_overtreat_doubt</t>
  </si>
  <si>
    <r>
      <rPr>
        <sz val="9"/>
        <rFont val="Noto Sans CJK SC"/>
        <family val="2"/>
      </rPr>
      <t xml:space="preserve">과잉진료 의심 불만 </t>
    </r>
    <r>
      <rPr>
        <sz val="9"/>
        <rFont val="Arial"/>
        <family val="0"/>
        <charset val="1"/>
      </rPr>
      <t xml:space="preserve">14.2%</t>
    </r>
  </si>
  <si>
    <t xml:space="preserve">게시 갱신 주기</t>
  </si>
  <si>
    <t xml:space="preserve">price_post_update_dt</t>
  </si>
  <si>
    <t xml:space="preserve">진료비 게시 최종 갱신일</t>
  </si>
  <si>
    <r>
      <rPr>
        <sz val="9"/>
        <rFont val="Noto Sans CJK SC"/>
        <family val="2"/>
      </rPr>
      <t xml:space="preserve">표준코드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20</t>
    </r>
    <r>
      <rPr>
        <sz val="9"/>
        <rFont val="Noto Sans CJK SC"/>
        <family val="2"/>
      </rPr>
      <t xml:space="preserve">조의</t>
    </r>
    <r>
      <rPr>
        <sz val="9"/>
        <rFont val="Arial"/>
        <family val="0"/>
        <charset val="1"/>
      </rPr>
      <t xml:space="preserve">3)</t>
    </r>
  </si>
  <si>
    <r>
      <rPr>
        <b val="true"/>
        <sz val="9"/>
        <rFont val="Noto Sans CJK SC"/>
        <family val="2"/>
      </rPr>
      <t xml:space="preserve">질병명 </t>
    </r>
    <r>
      <rPr>
        <b val="true"/>
        <sz val="9"/>
        <rFont val="Arial"/>
        <family val="0"/>
        <charset val="1"/>
      </rPr>
      <t xml:space="preserve">3,511</t>
    </r>
    <r>
      <rPr>
        <b val="true"/>
        <sz val="9"/>
        <rFont val="Noto Sans CJK SC"/>
        <family val="2"/>
      </rPr>
      <t xml:space="preserve">종</t>
    </r>
  </si>
  <si>
    <t xml:space="preserve">venom_dx_master</t>
  </si>
  <si>
    <r>
      <rPr>
        <sz val="9"/>
        <rFont val="Noto Sans CJK SC"/>
        <family val="2"/>
      </rPr>
      <t xml:space="preserve">권장표준 질병명 </t>
    </r>
    <r>
      <rPr>
        <sz val="9"/>
        <rFont val="Arial"/>
        <family val="0"/>
        <charset val="1"/>
      </rPr>
      <t xml:space="preserve">3,511</t>
    </r>
    <r>
      <rPr>
        <sz val="9"/>
        <rFont val="Noto Sans CJK SC"/>
        <family val="2"/>
      </rPr>
      <t xml:space="preserve">종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참조 마스터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</si>
  <si>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진료행위명 </t>
    </r>
    <r>
      <rPr>
        <b val="true"/>
        <sz val="9"/>
        <rFont val="Arial"/>
        <family val="0"/>
        <charset val="1"/>
      </rPr>
      <t xml:space="preserve">4,930</t>
    </r>
    <r>
      <rPr>
        <b val="true"/>
        <sz val="9"/>
        <rFont val="Noto Sans CJK SC"/>
        <family val="2"/>
      </rPr>
      <t xml:space="preserve">종</t>
    </r>
  </si>
  <si>
    <t xml:space="preserve">proc_master_cd</t>
  </si>
  <si>
    <r>
      <rPr>
        <sz val="9"/>
        <rFont val="Noto Sans CJK SC"/>
        <family val="2"/>
      </rPr>
      <t xml:space="preserve">권장표준 진료행위명 </t>
    </r>
    <r>
      <rPr>
        <sz val="9"/>
        <rFont val="Arial"/>
        <family val="0"/>
        <charset val="1"/>
      </rPr>
      <t xml:space="preserve">4,930</t>
    </r>
    <r>
      <rPr>
        <sz val="9"/>
        <rFont val="Noto Sans CJK SC"/>
        <family val="2"/>
      </rPr>
      <t xml:space="preserve">종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참조 마스터</t>
    </r>
    <r>
      <rPr>
        <sz val="9"/>
        <rFont val="Arial"/>
        <family val="0"/>
        <charset val="1"/>
      </rPr>
      <t xml:space="preserve">)</t>
    </r>
  </si>
  <si>
    <t xml:space="preserve">코드 매핑률</t>
  </si>
  <si>
    <t xml:space="preserve">code_mapping_rate</t>
  </si>
  <si>
    <r>
      <rPr>
        <sz val="9"/>
        <rFont val="Noto Sans CJK SC"/>
        <family val="2"/>
      </rPr>
      <t xml:space="preserve">자사 코드 대비 표준 매핑 완료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</si>
  <si>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확정진단 문구 금지</t>
  </si>
  <si>
    <r>
      <rPr>
        <sz val="9"/>
        <rFont val="Noto Sans CJK SC"/>
        <family val="2"/>
      </rPr>
      <t xml:space="preserve">확정 진단 문구 사용 금지 — 생성 규칙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20</t>
    </r>
    <r>
      <rPr>
        <sz val="9"/>
        <rFont val="Noto Sans CJK SC"/>
        <family val="2"/>
      </rPr>
      <t xml:space="preserve">조의</t>
    </r>
    <r>
      <rPr>
        <sz val="9"/>
        <rFont val="Arial"/>
        <family val="0"/>
        <charset val="1"/>
      </rPr>
      <t xml:space="preserve">3)</t>
    </r>
  </si>
  <si>
    <t xml:space="preserve">시스템 간 호환성</t>
  </si>
  <si>
    <t xml:space="preserve">interop_pass_rate</t>
  </si>
  <si>
    <r>
      <rPr>
        <sz val="9"/>
        <rFont val="Noto Sans CJK SC"/>
        <family val="2"/>
      </rPr>
      <t xml:space="preserve">연동 테스트 통과 비율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</si>
  <si>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코드 개정 반영</t>
  </si>
  <si>
    <t xml:space="preserve">code_ver_applied</t>
  </si>
  <si>
    <t xml:space="preserve">적용 중인 권장표준 고시 버전</t>
  </si>
  <si>
    <r>
      <rPr>
        <sz val="9"/>
        <rFont val="Noto Sans CJK SC"/>
        <family val="2"/>
      </rPr>
      <t xml:space="preserve">개인정보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비식별</t>
    </r>
  </si>
  <si>
    <r>
      <rPr>
        <b val="true"/>
        <sz val="9"/>
        <rFont val="Arial"/>
        <family val="0"/>
        <charset val="1"/>
      </rPr>
      <t xml:space="preserve">DICOM </t>
    </r>
    <r>
      <rPr>
        <b val="true"/>
        <sz val="9"/>
        <rFont val="Noto Sans CJK SC"/>
        <family val="2"/>
      </rPr>
      <t xml:space="preserve">메타 비식별</t>
    </r>
  </si>
  <si>
    <r>
      <rPr>
        <sz val="9"/>
        <rFont val="Arial"/>
        <family val="0"/>
        <charset val="1"/>
      </rPr>
      <t xml:space="preserve">Y / N · ⑥ </t>
    </r>
    <r>
      <rPr>
        <sz val="9"/>
        <rFont val="Noto Sans CJK SC"/>
        <family val="2"/>
      </rPr>
      <t xml:space="preserve">비식별 처리와 동일 컬럼 참조</t>
    </r>
  </si>
  <si>
    <t xml:space="preserve">동물등록번호 암호화</t>
  </si>
  <si>
    <t xml:space="preserve">animal_reg_no_enc</t>
  </si>
  <si>
    <t xml:space="preserve">VARBINARY(64)</t>
  </si>
  <si>
    <t xml:space="preserve">동물등록번호 암호화 저장값</t>
  </si>
  <si>
    <t xml:space="preserve">보호자 인적사항</t>
  </si>
  <si>
    <t xml:space="preserve">owner_pii_masked</t>
  </si>
  <si>
    <t xml:space="preserve">가명처리된 보호자 식별 정보</t>
  </si>
  <si>
    <t xml:space="preserve">결제 정보</t>
  </si>
  <si>
    <t xml:space="preserve">payment_pii_masked</t>
  </si>
  <si>
    <t xml:space="preserve">마스킹된 결제 수단 정보</t>
  </si>
  <si>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Arial"/>
        <family val="0"/>
        <charset val="1"/>
      </rPr>
      <t xml:space="preserve">3</t>
    </r>
    <r>
      <rPr>
        <b val="true"/>
        <sz val="9"/>
        <rFont val="Noto Sans CJK SC"/>
        <family val="2"/>
      </rPr>
      <t xml:space="preserve">자 제공 동의</t>
    </r>
  </si>
  <si>
    <t xml:space="preserve">consent_3rd_yn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</si>
  <si>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보험사 등 제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자 제공 동의</t>
    </r>
  </si>
  <si>
    <t xml:space="preserve">가명처리 결과의 재식별 위험 심사 — 규제 대응 문서</t>
  </si>
  <si>
    <t xml:space="preserve">진료기록 접근권</t>
  </si>
  <si>
    <t xml:space="preserve">기록부 교부 법안</t>
  </si>
  <si>
    <t xml:space="preserve">진료기록부 교부 의무화 법안 계류 — 제도 모니터링 대상</t>
  </si>
  <si>
    <r>
      <rPr>
        <b val="true"/>
        <sz val="9"/>
        <rFont val="Noto Sans CJK SC"/>
        <family val="2"/>
      </rPr>
      <t xml:space="preserve">요약형 자동제공 </t>
    </r>
    <r>
      <rPr>
        <b val="true"/>
        <sz val="9"/>
        <rFont val="Arial"/>
        <family val="0"/>
        <charset val="1"/>
      </rPr>
      <t xml:space="preserve">36.0%</t>
    </r>
  </si>
  <si>
    <t xml:space="preserve">stat_pref_summary</t>
  </si>
  <si>
    <r>
      <rPr>
        <sz val="9"/>
        <rFont val="Noto Sans CJK SC"/>
        <family val="2"/>
      </rPr>
      <t xml:space="preserve">전문가 선호 요약형 자동제공 </t>
    </r>
    <r>
      <rPr>
        <sz val="9"/>
        <rFont val="Arial"/>
        <family val="0"/>
        <charset val="1"/>
      </rPr>
      <t xml:space="preserve">36.0%</t>
    </r>
  </si>
  <si>
    <r>
      <rPr>
        <b val="true"/>
        <sz val="9"/>
        <rFont val="Noto Sans CJK SC"/>
        <family val="2"/>
      </rPr>
      <t xml:space="preserve">인증 기반 열람 </t>
    </r>
    <r>
      <rPr>
        <b val="true"/>
        <sz val="9"/>
        <rFont val="Arial"/>
        <family val="0"/>
        <charset val="1"/>
      </rPr>
      <t xml:space="preserve">24.0%</t>
    </r>
  </si>
  <si>
    <t xml:space="preserve">stat_pref_auth_view</t>
  </si>
  <si>
    <r>
      <rPr>
        <sz val="9"/>
        <rFont val="Noto Sans CJK SC"/>
        <family val="2"/>
      </rPr>
      <t xml:space="preserve">전문가 선호 인증 기반 열람제 </t>
    </r>
    <r>
      <rPr>
        <sz val="9"/>
        <rFont val="Arial"/>
        <family val="0"/>
        <charset val="1"/>
      </rPr>
      <t xml:space="preserve">24.0%</t>
    </r>
  </si>
  <si>
    <t xml:space="preserve">열람 범위 설정</t>
  </si>
  <si>
    <t xml:space="preserve">view_scope_cd</t>
  </si>
  <si>
    <t xml:space="preserve">보호자 열람 허용 범위 코드</t>
  </si>
  <si>
    <t xml:space="preserve">발급 이력</t>
  </si>
  <si>
    <t xml:space="preserve">issue_log_json</t>
  </si>
  <si>
    <r>
      <rPr>
        <sz val="9"/>
        <rFont val="Noto Sans CJK SC"/>
        <family val="2"/>
      </rPr>
      <t xml:space="preserve">기록 발급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열람 이력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분쟁 대응 근거</t>
    </r>
  </si>
  <si>
    <t xml:space="preserve">분쟁 시 입증책임</t>
  </si>
  <si>
    <r>
      <rPr>
        <sz val="9"/>
        <rFont val="Noto Sans CJK SC"/>
        <family val="2"/>
      </rPr>
      <t xml:space="preserve">입증 책임 분배 — 약관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면책 설계 준거</t>
    </r>
  </si>
  <si>
    <r>
      <rPr>
        <sz val="9"/>
        <rFont val="Noto Sans CJK SC"/>
        <family val="2"/>
      </rPr>
      <t xml:space="preserve">기술 신뢰성 </t>
    </r>
    <r>
      <rPr>
        <sz val="9"/>
        <rFont val="Arial"/>
        <family val="0"/>
        <charset val="1"/>
      </rPr>
      <t xml:space="preserve">· XAI</t>
    </r>
  </si>
  <si>
    <t xml:space="preserve">판독 확률값 편향</t>
  </si>
  <si>
    <t xml:space="preserve">confidence_bias_score</t>
  </si>
  <si>
    <r>
      <rPr>
        <sz val="9"/>
        <rFont val="Noto Sans CJK SC"/>
        <family val="2"/>
      </rPr>
      <t xml:space="preserve">신뢰도 분포 편향 지표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</si>
  <si>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t xml:space="preserve">학습 데이터 편향</t>
  </si>
  <si>
    <t xml:space="preserve">dataset_bias_score</t>
  </si>
  <si>
    <r>
      <rPr>
        <sz val="9"/>
        <rFont val="Noto Sans CJK SC"/>
        <family val="2"/>
      </rPr>
      <t xml:space="preserve">축종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병원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질환 분포 편향 지표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파생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</si>
  <si>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XAI </t>
    </r>
    <r>
      <rPr>
        <b val="true"/>
        <sz val="9"/>
        <rFont val="Noto Sans CJK SC"/>
        <family val="2"/>
      </rPr>
      <t xml:space="preserve">근거 제시</t>
    </r>
  </si>
  <si>
    <t xml:space="preserve">xai_provided_yn</t>
  </si>
  <si>
    <r>
      <rPr>
        <sz val="9"/>
        <rFont val="Arial"/>
        <family val="0"/>
        <charset val="1"/>
      </rPr>
      <t xml:space="preserve">Y / N · </t>
    </r>
    <r>
      <rPr>
        <sz val="9"/>
        <rFont val="Noto Sans CJK SC"/>
        <family val="2"/>
      </rPr>
      <t xml:space="preserve">근거 히트맵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문장 제공 여부</t>
    </r>
  </si>
  <si>
    <t xml:space="preserve">수의사 불신</t>
  </si>
  <si>
    <t xml:space="preserve">vet_trust_score</t>
  </si>
  <si>
    <r>
      <rPr>
        <sz val="9"/>
        <rFont val="Arial"/>
        <family val="0"/>
        <charset val="1"/>
      </rPr>
      <t xml:space="preserve">1~5 · </t>
    </r>
    <r>
      <rPr>
        <sz val="9"/>
        <rFont val="Noto Sans CJK SC"/>
        <family val="2"/>
      </rPr>
      <t xml:space="preserve">수의사 신뢰도 설문</t>
    </r>
  </si>
  <si>
    <r>
      <rPr>
        <b val="true"/>
        <sz val="9"/>
        <rFont val="Arial"/>
        <family val="0"/>
        <charset val="1"/>
      </rPr>
      <t xml:space="preserve">EMR </t>
    </r>
    <r>
      <rPr>
        <b val="true"/>
        <sz val="9"/>
        <rFont val="Noto Sans CJK SC"/>
        <family val="2"/>
      </rPr>
      <t xml:space="preserve">보안 우려 </t>
    </r>
    <r>
      <rPr>
        <b val="true"/>
        <sz val="9"/>
        <rFont val="Arial"/>
        <family val="0"/>
        <charset val="1"/>
      </rPr>
      <t xml:space="preserve">40.0%</t>
    </r>
  </si>
  <si>
    <t xml:space="preserve">stat_emr_security_concern</t>
  </si>
  <si>
    <r>
      <rPr>
        <sz val="9"/>
        <rFont val="Noto Sans CJK SC"/>
        <family val="2"/>
      </rPr>
      <t xml:space="preserve">전문가 </t>
    </r>
    <r>
      <rPr>
        <sz val="9"/>
        <rFont val="Arial"/>
        <family val="0"/>
        <charset val="1"/>
      </rPr>
      <t xml:space="preserve">EMR </t>
    </r>
    <r>
      <rPr>
        <sz val="9"/>
        <rFont val="Noto Sans CJK SC"/>
        <family val="2"/>
      </rPr>
      <t xml:space="preserve">연동 보안 우려 </t>
    </r>
    <r>
      <rPr>
        <sz val="9"/>
        <rFont val="Arial"/>
        <family val="0"/>
        <charset val="1"/>
      </rPr>
      <t xml:space="preserve">40.0%</t>
    </r>
  </si>
  <si>
    <r>
      <rPr>
        <b val="true"/>
        <sz val="9"/>
        <rFont val="Noto Sans CJK SC"/>
        <family val="2"/>
      </rPr>
      <t xml:space="preserve">오진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책임 소재</t>
    </r>
  </si>
  <si>
    <r>
      <rPr>
        <sz val="9"/>
        <rFont val="Noto Sans CJK SC"/>
        <family val="2"/>
      </rPr>
      <t xml:space="preserve">오진 시 책임 소재 — 계약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면책 조항 설계 준거</t>
    </r>
  </si>
  <si>
    <t xml:space="preserve">인자 수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</si>
  <si>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내부 데이터</t>
    </r>
  </si>
  <si>
    <r>
      <rPr>
        <sz val="10"/>
        <rFont val="Noto Sans CJK SC"/>
        <family val="2"/>
      </rPr>
      <t xml:space="preserve">혈액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진단검사</t>
    </r>
  </si>
  <si>
    <r>
      <rPr>
        <sz val="10"/>
        <rFont val="Noto Sans CJK SC"/>
        <family val="2"/>
      </rPr>
      <t xml:space="preserve">처방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투약</t>
    </r>
  </si>
  <si>
    <r>
      <rPr>
        <sz val="10"/>
        <rFont val="Noto Sans CJK SC"/>
        <family val="2"/>
      </rPr>
      <t xml:space="preserve">응급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입원</t>
    </r>
  </si>
  <si>
    <r>
      <rPr>
        <sz val="10"/>
        <rFont val="Noto Sans CJK SC"/>
        <family val="2"/>
      </rPr>
      <t xml:space="preserve">개체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보호자 마스터</t>
    </r>
  </si>
  <si>
    <r>
      <rPr>
        <sz val="10"/>
        <rFont val="Noto Sans CJK SC"/>
        <family val="2"/>
      </rPr>
      <t xml:space="preserve">통합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품질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거버넌스</t>
    </r>
  </si>
  <si>
    <r>
      <rPr>
        <sz val="10"/>
        <rFont val="Noto Sans CJK SC"/>
        <family val="2"/>
      </rPr>
      <t xml:space="preserve">멀티모달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학습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판독</t>
    </r>
  </si>
  <si>
    <r>
      <rPr>
        <sz val="10"/>
        <rFont val="Noto Sans CJK SC"/>
        <family val="2"/>
      </rPr>
      <t xml:space="preserve">보호자 설명문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수익화</t>
    </r>
  </si>
  <si>
    <r>
      <rPr>
        <sz val="10"/>
        <rFont val="Noto Sans CJK SC"/>
        <family val="2"/>
      </rPr>
      <t xml:space="preserve">보호자 신뢰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시장 대응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</si>
  <si>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외부 데이터</t>
    </r>
  </si>
  <si>
    <r>
      <rPr>
        <sz val="10"/>
        <rFont val="Noto Sans CJK SC"/>
        <family val="2"/>
      </rPr>
      <t xml:space="preserve">법제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규제 리스크</t>
    </r>
  </si>
  <si>
    <t xml:space="preserve">합계</t>
  </si>
  <si>
    <t xml:space="preserve">출처 인자 수</t>
  </si>
  <si>
    <r>
      <rPr>
        <b val="true"/>
        <sz val="10"/>
        <color rgb="FFFFFFFF"/>
        <rFont val="Noto Sans CJK SC"/>
        <family val="2"/>
      </rPr>
      <t xml:space="preserve">최초 출처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대분류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중분류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</si>
  <si>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① 영상 원본</t>
  </si>
  <si>
    <t xml:space="preserve">① 촬영 조건</t>
  </si>
  <si>
    <r>
      <rPr>
        <sz val="9"/>
        <rFont val="Noto Sans CJK SC"/>
        <family val="2"/>
      </rPr>
      <t xml:space="preserve">① 장비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환경</t>
    </r>
  </si>
  <si>
    <t xml:space="preserve">① 영상 품질</t>
  </si>
  <si>
    <r>
      <rPr>
        <sz val="9"/>
        <rFont val="Noto Sans CJK SC"/>
        <family val="2"/>
      </rPr>
      <t xml:space="preserve">① 판독 소견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정답</t>
    </r>
    <r>
      <rPr>
        <sz val="9"/>
        <rFont val="Arial"/>
        <family val="0"/>
        <charset val="1"/>
      </rPr>
      <t xml:space="preserve">)</t>
    </r>
  </si>
  <si>
    <t xml:space="preserve">① 영상 계열 확장</t>
  </si>
  <si>
    <r>
      <rPr>
        <sz val="9"/>
        <rFont val="Noto Sans CJK SC"/>
        <family val="2"/>
      </rPr>
      <t xml:space="preserve">① 시계열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비교</t>
    </r>
  </si>
  <si>
    <r>
      <rPr>
        <sz val="9"/>
        <rFont val="Noto Sans CJK SC"/>
        <family val="2"/>
      </rPr>
      <t xml:space="preserve">① 연동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수집</t>
    </r>
  </si>
  <si>
    <r>
      <rPr>
        <sz val="9"/>
        <rFont val="Noto Sans CJK SC"/>
        <family val="2"/>
      </rPr>
      <t xml:space="preserve">② 혈구검사</t>
    </r>
    <r>
      <rPr>
        <sz val="9"/>
        <rFont val="Arial"/>
        <family val="0"/>
        <charset val="1"/>
      </rPr>
      <t xml:space="preserve">(CBC)</t>
    </r>
  </si>
  <si>
    <r>
      <rPr>
        <sz val="9"/>
        <rFont val="Noto Sans CJK SC"/>
        <family val="2"/>
      </rPr>
      <t xml:space="preserve">② 전해질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혈액가스</t>
    </r>
  </si>
  <si>
    <t xml:space="preserve">② 기타 체액검사</t>
  </si>
  <si>
    <t xml:space="preserve">② 검사 메타</t>
  </si>
  <si>
    <t xml:space="preserve">② 판정 기준</t>
  </si>
  <si>
    <r>
      <rPr>
        <sz val="9"/>
        <rFont val="Noto Sans CJK SC"/>
        <family val="2"/>
      </rPr>
      <t xml:space="preserve">② 품질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연동</t>
    </r>
  </si>
  <si>
    <t xml:space="preserve">③ 처방 기본</t>
  </si>
  <si>
    <t xml:space="preserve">③ 약물 정보</t>
  </si>
  <si>
    <r>
      <rPr>
        <sz val="9"/>
        <rFont val="Noto Sans CJK SC"/>
        <family val="2"/>
      </rPr>
      <t xml:space="preserve">③ 용법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용량</t>
    </r>
  </si>
  <si>
    <t xml:space="preserve">③ 투약 안전성</t>
  </si>
  <si>
    <t xml:space="preserve">③ 투약 실행</t>
  </si>
  <si>
    <r>
      <rPr>
        <sz val="9"/>
        <rFont val="Noto Sans CJK SC"/>
        <family val="2"/>
      </rPr>
      <t xml:space="preserve">③ 처치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시술</t>
    </r>
  </si>
  <si>
    <r>
      <rPr>
        <sz val="9"/>
        <rFont val="Noto Sans CJK SC"/>
        <family val="2"/>
      </rPr>
      <t xml:space="preserve">③ 수납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비용</t>
    </r>
  </si>
  <si>
    <r>
      <rPr>
        <sz val="9"/>
        <rFont val="Noto Sans CJK SC"/>
        <family val="2"/>
      </rPr>
      <t xml:space="preserve">③ 연동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품질</t>
    </r>
  </si>
  <si>
    <r>
      <rPr>
        <sz val="9"/>
        <rFont val="Noto Sans CJK SC"/>
        <family val="2"/>
      </rPr>
      <t xml:space="preserve">④ 내원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접수</t>
    </r>
  </si>
  <si>
    <t xml:space="preserve">④ 트리아지</t>
  </si>
  <si>
    <t xml:space="preserve">④ 활력징후 시계열</t>
  </si>
  <si>
    <t xml:space="preserve">④ 응급 처치</t>
  </si>
  <si>
    <r>
      <rPr>
        <sz val="9"/>
        <rFont val="Noto Sans CJK SC"/>
        <family val="2"/>
      </rPr>
      <t xml:space="preserve">④ 입원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경과</t>
    </r>
  </si>
  <si>
    <t xml:space="preserve">④ 모니터링 장비</t>
  </si>
  <si>
    <r>
      <rPr>
        <sz val="9"/>
        <rFont val="Noto Sans CJK SC"/>
        <family val="2"/>
      </rPr>
      <t xml:space="preserve">④ 결과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예후</t>
    </r>
  </si>
  <si>
    <t xml:space="preserve">④ 수집 제약</t>
  </si>
  <si>
    <t xml:space="preserve">⑤ 개체 식별</t>
  </si>
  <si>
    <t xml:space="preserve">⑤ 개체 속성</t>
  </si>
  <si>
    <t xml:space="preserve">⑤ 병력 배경</t>
  </si>
  <si>
    <t xml:space="preserve">⑤ 생활 정보</t>
  </si>
  <si>
    <t xml:space="preserve">⑤ 보호자 식별</t>
  </si>
  <si>
    <t xml:space="preserve">⑤ 보호자 특성</t>
  </si>
  <si>
    <r>
      <rPr>
        <sz val="9"/>
        <rFont val="Noto Sans CJK SC"/>
        <family val="2"/>
      </rPr>
      <t xml:space="preserve">⑤ 동의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권리</t>
    </r>
  </si>
  <si>
    <r>
      <rPr>
        <sz val="9"/>
        <rFont val="Arial"/>
        <family val="0"/>
        <charset val="1"/>
      </rPr>
      <t xml:space="preserve">⑤ ID </t>
    </r>
    <r>
      <rPr>
        <sz val="9"/>
        <rFont val="Noto Sans CJK SC"/>
        <family val="2"/>
      </rPr>
      <t xml:space="preserve">매핑</t>
    </r>
  </si>
  <si>
    <r>
      <rPr>
        <sz val="9"/>
        <rFont val="Noto Sans CJK SC"/>
        <family val="2"/>
      </rPr>
      <t xml:space="preserve">⑥ 수집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연계</t>
    </r>
  </si>
  <si>
    <t xml:space="preserve">⑥ 시점 정합</t>
  </si>
  <si>
    <t xml:space="preserve">⑥ 품질 지표</t>
  </si>
  <si>
    <r>
      <rPr>
        <sz val="9"/>
        <rFont val="Noto Sans CJK SC"/>
        <family val="2"/>
      </rPr>
      <t xml:space="preserve">⑥ 비식별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보안</t>
    </r>
  </si>
  <si>
    <r>
      <rPr>
        <sz val="9"/>
        <rFont val="Noto Sans CJK SC"/>
        <family val="2"/>
      </rPr>
      <t xml:space="preserve">⑥ 법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제도</t>
    </r>
  </si>
  <si>
    <r>
      <rPr>
        <sz val="9"/>
        <rFont val="Noto Sans CJK SC"/>
        <family val="2"/>
      </rPr>
      <t xml:space="preserve">⑥ 저장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운영</t>
    </r>
  </si>
  <si>
    <r>
      <rPr>
        <sz val="9"/>
        <rFont val="Noto Sans CJK SC"/>
        <family val="2"/>
      </rPr>
      <t xml:space="preserve">⑥ 접근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조직</t>
    </r>
  </si>
  <si>
    <t xml:space="preserve">⑦ 학습 데이터셋</t>
  </si>
  <si>
    <r>
      <rPr>
        <sz val="9"/>
        <rFont val="Noto Sans CJK SC"/>
        <family val="2"/>
      </rPr>
      <t xml:space="preserve">⑦ 라벨링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정답</t>
    </r>
  </si>
  <si>
    <t xml:space="preserve">⑦ 모달리티 결합</t>
  </si>
  <si>
    <r>
      <rPr>
        <sz val="9"/>
        <rFont val="Noto Sans CJK SC"/>
        <family val="2"/>
      </rPr>
      <t xml:space="preserve">⑦ 모델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추론</t>
    </r>
  </si>
  <si>
    <t xml:space="preserve">⑦ 성능 평가</t>
  </si>
  <si>
    <t xml:space="preserve">⑦ 소견문 생성</t>
  </si>
  <si>
    <t xml:space="preserve">⑦ 피드백 루프</t>
  </si>
  <si>
    <r>
      <rPr>
        <sz val="9"/>
        <rFont val="Noto Sans CJK SC"/>
        <family val="2"/>
      </rPr>
      <t xml:space="preserve">⑦ 운영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리스크</t>
    </r>
  </si>
  <si>
    <t xml:space="preserve">⑧ 초안 구성</t>
  </si>
  <si>
    <t xml:space="preserve">⑧ 근거 제시</t>
  </si>
  <si>
    <r>
      <rPr>
        <sz val="9"/>
        <rFont val="Noto Sans CJK SC"/>
        <family val="2"/>
      </rPr>
      <t xml:space="preserve">⑧ 화면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조작</t>
    </r>
  </si>
  <si>
    <r>
      <rPr>
        <sz val="9"/>
        <rFont val="Noto Sans CJK SC"/>
        <family val="2"/>
      </rPr>
      <t xml:space="preserve">⑧ 검토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수정</t>
    </r>
  </si>
  <si>
    <r>
      <rPr>
        <sz val="9"/>
        <rFont val="Noto Sans CJK SC"/>
        <family val="2"/>
      </rPr>
      <t xml:space="preserve">⑧ 승인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책임</t>
    </r>
  </si>
  <si>
    <t xml:space="preserve">⑧ 기록 연계</t>
  </si>
  <si>
    <t xml:space="preserve">⑧ 사용성 지표</t>
  </si>
  <si>
    <t xml:space="preserve">⑧ 안전장치</t>
  </si>
  <si>
    <t xml:space="preserve">⑨ 설명문 생성</t>
  </si>
  <si>
    <t xml:space="preserve">⑨ 콘텐츠 구성</t>
  </si>
  <si>
    <t xml:space="preserve">⑨ 맞춤 변수</t>
  </si>
  <si>
    <t xml:space="preserve">⑨ 전달 채널</t>
  </si>
  <si>
    <t xml:space="preserve">⑨ 반응 데이터</t>
  </si>
  <si>
    <t xml:space="preserve">⑨ 행동 전환</t>
  </si>
  <si>
    <t xml:space="preserve">⑨ 수익화</t>
  </si>
  <si>
    <t xml:space="preserve">⑨ 선순환 지표</t>
  </si>
  <si>
    <r>
      <rPr>
        <sz val="9"/>
        <rFont val="Noto Sans CJK SC"/>
        <family val="2"/>
      </rPr>
      <t xml:space="preserve">⑩ 불신 실태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정보</t>
    </r>
    <r>
      <rPr>
        <sz val="9"/>
        <rFont val="Arial"/>
        <family val="0"/>
        <charset val="1"/>
      </rPr>
      <t xml:space="preserve">)</t>
    </r>
  </si>
  <si>
    <t xml:space="preserve">⑩ 신뢰의 실제 구조</t>
  </si>
  <si>
    <t xml:space="preserve">⑩ 악순환 루프</t>
  </si>
  <si>
    <t xml:space="preserve">⑩ 업무시간 재배분</t>
  </si>
  <si>
    <t xml:space="preserve">⑩ 소통 투명화 효과</t>
  </si>
  <si>
    <t xml:space="preserve">⑩ 시장 흐름</t>
  </si>
  <si>
    <r>
      <rPr>
        <sz val="9"/>
        <rFont val="Noto Sans CJK SC"/>
        <family val="2"/>
      </rPr>
      <t xml:space="preserve">⑪ 의료기기 허가</t>
    </r>
    <r>
      <rPr>
        <sz val="9"/>
        <rFont val="Arial"/>
        <family val="0"/>
        <charset val="1"/>
      </rPr>
      <t xml:space="preserve">(SaMD)</t>
    </r>
  </si>
  <si>
    <r>
      <rPr>
        <sz val="9"/>
        <rFont val="Noto Sans CJK SC"/>
        <family val="2"/>
      </rPr>
      <t xml:space="preserve">⑪ 진료권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조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</si>
  <si>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⑪ 사전설명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조의</t>
    </r>
    <r>
      <rPr>
        <sz val="9"/>
        <rFont val="Arial"/>
        <family val="0"/>
        <charset val="1"/>
      </rPr>
      <t xml:space="preserve">2)</t>
    </r>
  </si>
  <si>
    <r>
      <rPr>
        <sz val="9"/>
        <rFont val="Noto Sans CJK SC"/>
        <family val="2"/>
      </rPr>
      <t xml:space="preserve">⑪ 정보공개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19</t>
    </r>
    <r>
      <rPr>
        <sz val="9"/>
        <rFont val="Noto Sans CJK SC"/>
        <family val="2"/>
      </rPr>
      <t xml:space="preserve">조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</si>
  <si>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⑪ 표준코드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20</t>
    </r>
    <r>
      <rPr>
        <sz val="9"/>
        <rFont val="Noto Sans CJK SC"/>
        <family val="2"/>
      </rPr>
      <t xml:space="preserve">조의</t>
    </r>
    <r>
      <rPr>
        <sz val="9"/>
        <rFont val="Arial"/>
        <family val="0"/>
        <charset val="1"/>
      </rPr>
      <t xml:space="preserve">3)</t>
    </r>
  </si>
  <si>
    <r>
      <rPr>
        <sz val="9"/>
        <rFont val="Noto Sans CJK SC"/>
        <family val="2"/>
      </rPr>
      <t xml:space="preserve">⑪ 개인정보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비식별</t>
    </r>
  </si>
  <si>
    <t xml:space="preserve">⑪ 진료기록 접근권</t>
  </si>
  <si>
    <r>
      <rPr>
        <sz val="9"/>
        <rFont val="Noto Sans CJK SC"/>
        <family val="2"/>
      </rPr>
      <t xml:space="preserve">⑪ 기술 신뢰성 </t>
    </r>
    <r>
      <rPr>
        <sz val="9"/>
        <rFont val="Arial"/>
        <family val="0"/>
        <charset val="1"/>
      </rPr>
      <t xml:space="preserve">· XAI</t>
    </r>
  </si>
  <si>
    <t xml:space="preserve">내용</t>
  </si>
  <si>
    <t xml:space="preserve">작성 기준</t>
  </si>
  <si>
    <r>
      <rPr>
        <sz val="10"/>
        <rFont val="Noto Sans CJK SC"/>
        <family val="2"/>
      </rPr>
      <t xml:space="preserve">본 정의서의 행은 </t>
    </r>
    <r>
      <rPr>
        <sz val="10"/>
        <rFont val="Arial"/>
        <family val="0"/>
        <charset val="1"/>
      </rPr>
      <t xml:space="preserve">[1. </t>
    </r>
    <r>
      <rPr>
        <sz val="10"/>
        <rFont val="Noto Sans CJK SC"/>
        <family val="2"/>
      </rPr>
      <t xml:space="preserve">데이터 수집성 평가표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의 인자 </t>
    </r>
    <r>
      <rPr>
        <sz val="10"/>
        <rFont val="Arial"/>
        <family val="0"/>
        <charset val="1"/>
      </rPr>
      <t xml:space="preserve">528</t>
    </r>
    <r>
      <rPr>
        <sz val="10"/>
        <rFont val="Noto Sans CJK SC"/>
        <family val="2"/>
      </rPr>
      <t xml:space="preserve">개와 </t>
    </r>
    <r>
      <rPr>
        <sz val="10"/>
        <rFont val="Arial"/>
        <family val="0"/>
        <charset val="1"/>
      </rPr>
      <t xml:space="preserve">1:1</t>
    </r>
    <r>
      <rPr>
        <sz val="10"/>
        <rFont val="Noto Sans CJK SC"/>
        <family val="2"/>
      </rPr>
      <t xml:space="preserve">로 대응한다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인자 하나가 변수 하나가 되지 않는 경우도 있으므로 구분 열로 성격을 나눈다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</si>
  <si>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컬럼으로 적재되는 값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원천에서 직접 수집하거나 사용자가 입력한다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</si>
  <si>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다른 변수로부터 계산되는 값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직접 입력 금지 — 산출 규칙이 정의되어야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</si>
  <si>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별도 컬럼이 아니라 기존 코드 컬럼</t>
    </r>
    <r>
      <rPr>
        <sz val="10"/>
        <rFont val="Arial"/>
        <family val="0"/>
        <charset val="1"/>
      </rPr>
      <t xml:space="preserve">(lab_item_cd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값으로 표현되는 항목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검사 항목처럼 수가 많고 늘어나는 인자는 컬럼을 늘리지 않고 코드값으로 관리한다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</si>
  <si>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자사가 생성하지 않는 외부 기준값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통계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경쟁정보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참조 테이블로 적재하며 출처와 조사 시점을 함께 기록한다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</si>
  <si>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컬럼이 아니라 설계 원칙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법령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운영 절차로 관리되는 항목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변수명과 타입이 없다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데이터로 저장되지 않지만 시스템이 지켜야 하므로 정의서에 남긴다</t>
    </r>
    <r>
      <rPr>
        <sz val="10"/>
        <rFont val="Arial"/>
        <family val="0"/>
        <charset val="1"/>
      </rPr>
      <t xml:space="preserve">.</t>
    </r>
  </si>
  <si>
    <t xml:space="preserve">명명 규칙</t>
  </si>
  <si>
    <r>
      <rPr>
        <sz val="10"/>
        <rFont val="Arial"/>
        <family val="0"/>
        <charset val="1"/>
      </rPr>
      <t xml:space="preserve">snake_case </t>
    </r>
    <r>
      <rPr>
        <sz val="10"/>
        <rFont val="Noto Sans CJK SC"/>
        <family val="2"/>
      </rPr>
      <t xml:space="preserve">소문자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식별자 </t>
    </r>
    <r>
      <rPr>
        <sz val="10"/>
        <rFont val="Arial"/>
        <family val="0"/>
        <charset val="1"/>
      </rPr>
      <t xml:space="preserve">_id · </t>
    </r>
    <r>
      <rPr>
        <sz val="10"/>
        <rFont val="Noto Sans CJK SC"/>
        <family val="2"/>
      </rPr>
      <t xml:space="preserve">코드 </t>
    </r>
    <r>
      <rPr>
        <sz val="10"/>
        <rFont val="Arial"/>
        <family val="0"/>
        <charset val="1"/>
      </rPr>
      <t xml:space="preserve">_cd · </t>
    </r>
    <r>
      <rPr>
        <sz val="10"/>
        <rFont val="Noto Sans CJK SC"/>
        <family val="2"/>
      </rPr>
      <t xml:space="preserve">일시 </t>
    </r>
    <r>
      <rPr>
        <sz val="10"/>
        <rFont val="Arial"/>
        <family val="0"/>
        <charset val="1"/>
      </rPr>
      <t xml:space="preserve">_dt · </t>
    </r>
    <r>
      <rPr>
        <sz val="10"/>
        <rFont val="Noto Sans CJK SC"/>
        <family val="2"/>
      </rPr>
      <t xml:space="preserve">여부 </t>
    </r>
    <r>
      <rPr>
        <sz val="10"/>
        <rFont val="Arial"/>
        <family val="0"/>
        <charset val="1"/>
      </rPr>
      <t xml:space="preserve">_yn · </t>
    </r>
    <r>
      <rPr>
        <sz val="10"/>
        <rFont val="Noto Sans CJK SC"/>
        <family val="2"/>
      </rPr>
      <t xml:space="preserve">비율 </t>
    </r>
    <r>
      <rPr>
        <sz val="10"/>
        <rFont val="Arial"/>
        <family val="0"/>
        <charset val="1"/>
      </rPr>
      <t xml:space="preserve">_rate · </t>
    </r>
    <r>
      <rPr>
        <sz val="10"/>
        <rFont val="Noto Sans CJK SC"/>
        <family val="2"/>
      </rPr>
      <t xml:space="preserve">금액 </t>
    </r>
    <r>
      <rPr>
        <sz val="10"/>
        <rFont val="Arial"/>
        <family val="0"/>
        <charset val="1"/>
      </rPr>
      <t xml:space="preserve">_amt · </t>
    </r>
    <r>
      <rPr>
        <sz val="10"/>
        <rFont val="Noto Sans CJK SC"/>
        <family val="2"/>
      </rPr>
      <t xml:space="preserve">경로 </t>
    </r>
    <r>
      <rPr>
        <sz val="10"/>
        <rFont val="Arial"/>
        <family val="0"/>
        <charset val="1"/>
      </rPr>
      <t xml:space="preserve">_path.</t>
    </r>
  </si>
  <si>
    <r>
      <rPr>
        <sz val="10"/>
        <rFont val="Noto Sans CJK SC"/>
        <family val="2"/>
      </rPr>
      <t xml:space="preserve">타입은 </t>
    </r>
    <r>
      <rPr>
        <sz val="10"/>
        <rFont val="Arial"/>
        <family val="0"/>
        <charset val="1"/>
      </rPr>
      <t xml:space="preserve">MySQL 8.0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코드성은 </t>
    </r>
    <r>
      <rPr>
        <sz val="10"/>
        <rFont val="Arial"/>
        <family val="0"/>
        <charset val="1"/>
      </rPr>
      <t xml:space="preserve">CHAR </t>
    </r>
    <r>
      <rPr>
        <sz val="10"/>
        <rFont val="Noto Sans CJK SC"/>
        <family val="2"/>
      </rPr>
      <t xml:space="preserve">고정길이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명칭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경로는 </t>
    </r>
    <r>
      <rPr>
        <sz val="10"/>
        <rFont val="Arial"/>
        <family val="0"/>
        <charset val="1"/>
      </rPr>
      <t xml:space="preserve">VARCHAR, </t>
    </r>
    <r>
      <rPr>
        <sz val="10"/>
        <rFont val="Noto Sans CJK SC"/>
        <family val="2"/>
      </rPr>
      <t xml:space="preserve">서술형은 </t>
    </r>
    <r>
      <rPr>
        <sz val="10"/>
        <rFont val="Arial"/>
        <family val="0"/>
        <charset val="1"/>
      </rPr>
      <t xml:space="preserve">TEXT, </t>
    </r>
    <r>
      <rPr>
        <sz val="10"/>
        <rFont val="Noto Sans CJK SC"/>
        <family val="2"/>
      </rPr>
      <t xml:space="preserve">구조화 집합은 </t>
    </r>
    <r>
      <rPr>
        <sz val="10"/>
        <rFont val="Arial"/>
        <family val="0"/>
        <charset val="1"/>
      </rPr>
      <t xml:space="preserve">JSON.</t>
    </r>
  </si>
  <si>
    <r>
      <rPr>
        <b val="true"/>
        <sz val="10"/>
        <color rgb="FF111111"/>
        <rFont val="Arial"/>
        <family val="0"/>
        <charset val="1"/>
      </rPr>
      <t xml:space="preserve">1. </t>
    </r>
    <r>
      <rPr>
        <b val="true"/>
        <sz val="10"/>
        <color rgb="FF111111"/>
        <rFont val="Noto Sans CJK SC"/>
        <family val="2"/>
      </rPr>
      <t xml:space="preserve">내부 데이터</t>
    </r>
  </si>
  <si>
    <r>
      <rPr>
        <sz val="10"/>
        <rFont val="Noto Sans CJK SC"/>
        <family val="2"/>
      </rPr>
      <t xml:space="preserve">병원 진료 과정에서 발생하거나</t>
    </r>
    <r>
      <rPr>
        <sz val="10"/>
        <rFont val="Arial"/>
        <family val="0"/>
        <charset val="1"/>
      </rPr>
      <t xml:space="preserve">(①~⑤) </t>
    </r>
    <r>
      <rPr>
        <sz val="10"/>
        <rFont val="Noto Sans CJK SC"/>
        <family val="2"/>
      </rPr>
      <t xml:space="preserve">자사가 가공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생성하는</t>
    </r>
    <r>
      <rPr>
        <sz val="10"/>
        <rFont val="Arial"/>
        <family val="0"/>
        <charset val="1"/>
      </rPr>
      <t xml:space="preserve">(⑥~⑨) </t>
    </r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</si>
  <si>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111111"/>
        <rFont val="Arial"/>
        <family val="0"/>
        <charset val="1"/>
      </rPr>
      <t xml:space="preserve">2. </t>
    </r>
    <r>
      <rPr>
        <b val="true"/>
        <sz val="10"/>
        <color rgb="FF111111"/>
        <rFont val="Noto Sans CJK SC"/>
        <family val="2"/>
      </rPr>
      <t xml:space="preserve">외부 데이터</t>
    </r>
  </si>
  <si>
    <r>
      <rPr>
        <sz val="10"/>
        <rFont val="Noto Sans CJK SC"/>
        <family val="2"/>
      </rPr>
      <t xml:space="preserve">시장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경쟁 조사값</t>
    </r>
    <r>
      <rPr>
        <sz val="10"/>
        <rFont val="Arial"/>
        <family val="0"/>
        <charset val="1"/>
      </rPr>
      <t xml:space="preserve">(⑩)</t>
    </r>
    <r>
      <rPr>
        <sz val="10"/>
        <rFont val="Noto Sans CJK SC"/>
        <family val="2"/>
      </rPr>
      <t xml:space="preserve">과 법령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고시 준거</t>
    </r>
    <r>
      <rPr>
        <sz val="10"/>
        <rFont val="Arial"/>
        <family val="0"/>
        <charset val="1"/>
      </rPr>
      <t xml:space="preserve">(⑪). </t>
    </r>
    <r>
      <rPr>
        <sz val="10"/>
        <rFont val="Noto Sans CJK SC"/>
        <family val="2"/>
      </rPr>
      <t xml:space="preserve">자사가 생성하지 않으며 갱신 주기 관리 대상</t>
    </r>
    <r>
      <rPr>
        <sz val="10"/>
        <rFont val="Arial"/>
        <family val="0"/>
        <charset val="1"/>
      </rPr>
      <t xml:space="preserve">.</t>
    </r>
  </si>
  <si>
    <t xml:space="preserve">주의</t>
  </si>
  <si>
    <r>
      <rPr>
        <sz val="10"/>
        <rFont val="Noto Sans CJK SC"/>
        <family val="2"/>
      </rPr>
      <t xml:space="preserve">동일 변수명이 여러 인자에 중복 등장할 수 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 </t>
    </r>
    <r>
      <rPr>
        <sz val="10"/>
        <rFont val="Arial"/>
        <family val="0"/>
        <charset val="1"/>
      </rPr>
      <t xml:space="preserve">los_days). [</t>
    </r>
    <r>
      <rPr>
        <sz val="10"/>
        <rFont val="Noto Sans CJK SC"/>
        <family val="2"/>
      </rPr>
      <t xml:space="preserve">고유 변수 목록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시트에서 중복을 제거한 실제 컬럼 수를 확인할 것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</si>
  <si>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참조</t>
    </r>
    <r>
      <rPr>
        <sz val="10"/>
        <rFont val="Arial"/>
        <family val="0"/>
        <charset val="1"/>
      </rPr>
      <t xml:space="preserve">(R) </t>
    </r>
    <r>
      <rPr>
        <sz val="10"/>
        <rFont val="Noto Sans CJK SC"/>
        <family val="2"/>
      </rPr>
      <t xml:space="preserve">행의 수치는 공개 조사 통계이므로 인용 시 출처와 조사 연도를 반드시 병기한다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</si>
</sst>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9"/>
      <name val="Arial"/>
      <family val="0"/>
      <charset val="1"/>
    </font>
    <font>
      <b val="true"/>
      <sz val="9"/>
      <name val="Noto Sans CJK SC"/>
      <family val="2"/>
    </font>
    <font>
      <b val="true"/>
      <sz val="8.5"/>
      <color rgb="FF0B5F5E"/>
      <name val="Noto Sans CJK SC"/>
      <family val="2"/>
    </font>
    <font>
      <b val="true"/>
      <sz val="9"/>
      <color rgb="FF0B5F5E"/>
      <name val="Arial"/>
      <family val="0"/>
      <charset val="1"/>
    </font>
    <font>
      <b val="true"/>
      <sz val="8.5"/>
      <color rgb="FF2C4A6B"/>
      <name val="Noto Sans CJK SC"/>
      <family val="2"/>
    </font>
    <font>
      <b val="true"/>
      <sz val="8.5"/>
      <color rgb="FF666666"/>
      <name val="Noto Sans CJK SC"/>
      <family val="2"/>
    </font>
    <font>
      <sz val="9"/>
      <color rgb="FF555555"/>
      <name val="Arial"/>
      <family val="0"/>
      <charset val="1"/>
    </font>
    <font>
      <b val="true"/>
      <sz val="8.5"/>
      <color rgb="FF445566"/>
      <name val="Noto Sans CJK SC"/>
      <family val="2"/>
    </font>
    <font>
      <b val="true"/>
      <sz val="9"/>
      <color rgb="FF555555"/>
      <name val="Arial"/>
      <family val="0"/>
      <charset val="1"/>
    </font>
    <font>
      <b val="true"/>
      <sz val="8.5"/>
      <color rgb="FF9A5B12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color rgb="FF0E7C7B"/>
      <name val="Noto Sans CJK SC"/>
      <family val="2"/>
    </font>
    <font>
      <b val="true"/>
      <sz val="10"/>
      <color rgb="FF111111"/>
      <name val="Arial"/>
      <family val="0"/>
      <charset val="1"/>
    </font>
    <font>
      <b val="true"/>
      <sz val="10"/>
      <color rgb="FF111111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6283A"/>
        <bgColor rgb="FF111111"/>
      </patternFill>
    </fill>
    <fill>
      <patternFill patternType="solid">
        <fgColor rgb="FFF2F7F6"/>
        <bgColor rgb="FFF1F3F5"/>
      </patternFill>
    </fill>
    <fill>
      <patternFill patternType="solid">
        <fgColor rgb="FFDEEFED"/>
        <bgColor rgb="FFE9EFF5"/>
      </patternFill>
    </fill>
    <fill>
      <patternFill patternType="solid">
        <fgColor rgb="FFE9EFF5"/>
        <bgColor rgb="FFEDF1F4"/>
      </patternFill>
    </fill>
    <fill>
      <patternFill patternType="solid">
        <fgColor rgb="FFF1F3F5"/>
        <bgColor rgb="FFEDF1F4"/>
      </patternFill>
    </fill>
    <fill>
      <patternFill patternType="solid">
        <fgColor rgb="FFEDF1F4"/>
        <bgColor rgb="FFE9EFF5"/>
      </patternFill>
    </fill>
    <fill>
      <patternFill patternType="solid">
        <fgColor rgb="FFFDEEDC"/>
        <bgColor rgb="FFF6F4F0"/>
      </patternFill>
    </fill>
    <fill>
      <patternFill patternType="solid">
        <fgColor rgb="FFF6F4F0"/>
        <bgColor rgb="FFF1F3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DE2"/>
      </left>
      <right style="thin">
        <color rgb="FFD8DDE2"/>
      </right>
      <top style="thin">
        <color rgb="FFD8DDE2"/>
      </top>
      <bottom style="thin">
        <color rgb="FFD8DD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628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7F6"/>
          <bgColor rgb="FF000000"/>
        </patternFill>
      </fill>
    </dxf>
    <dxf>
      <fill>
        <patternFill patternType="solid">
          <fgColor rgb="FFF6F4F0"/>
          <bgColor rgb="FF000000"/>
        </patternFill>
      </fill>
    </dxf>
    <dxf>
      <fill>
        <patternFill patternType="solid">
          <fgColor rgb="FFDEEFED"/>
          <bgColor rgb="FF000000"/>
        </patternFill>
      </fill>
    </dxf>
    <dxf>
      <fill>
        <patternFill patternType="solid">
          <fgColor rgb="FFE9EFF5"/>
          <bgColor rgb="FF000000"/>
        </patternFill>
      </fill>
    </dxf>
    <dxf>
      <fill>
        <patternFill patternType="solid">
          <fgColor rgb="FFEDF1F4"/>
          <bgColor rgb="FF000000"/>
        </patternFill>
      </fill>
    </dxf>
    <dxf>
      <fill>
        <patternFill patternType="solid">
          <fgColor rgb="FFF1F3F5"/>
          <bgColor rgb="FF000000"/>
        </patternFill>
      </fill>
    </dxf>
    <dxf>
      <fill>
        <patternFill patternType="solid">
          <fgColor rgb="FFFDEEDC"/>
          <bgColor rgb="FF000000"/>
        </patternFill>
      </fill>
    </dxf>
    <dxf>
      <fill>
        <patternFill patternType="solid">
          <fgColor rgb="FF0B5F5E"/>
          <bgColor rgb="FF000000"/>
        </patternFill>
      </fill>
    </dxf>
    <dxf>
      <fill>
        <patternFill patternType="solid">
          <fgColor rgb="FF2C4A6B"/>
          <bgColor rgb="FF000000"/>
        </patternFill>
      </fill>
    </dxf>
    <dxf>
      <fill>
        <patternFill patternType="solid">
          <fgColor rgb="FF445566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9A5B12"/>
          <bgColor rgb="FF000000"/>
        </patternFill>
      </fill>
    </dxf>
    <dxf>
      <fill>
        <patternFill patternType="solid">
          <fgColor rgb="FF55555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F2F7F6"/>
      <rgbColor rgb="FF808080"/>
      <rgbColor rgb="FF9999FF"/>
      <rgbColor rgb="FF993366"/>
      <rgbColor rgb="FFFDEEDC"/>
      <rgbColor rgb="FFDEEFED"/>
      <rgbColor rgb="FF660066"/>
      <rgbColor rgb="FFFF8080"/>
      <rgbColor rgb="FF0066CC"/>
      <rgbColor rgb="FFD8DDE2"/>
      <rgbColor rgb="FF000080"/>
      <rgbColor rgb="FFFF00FF"/>
      <rgbColor rgb="FFFFFF00"/>
      <rgbColor rgb="FF00FFFF"/>
      <rgbColor rgb="FF800080"/>
      <rgbColor rgb="FF800000"/>
      <rgbColor rgb="FF0B5F5E"/>
      <rgbColor rgb="FF0000FF"/>
      <rgbColor rgb="FF00CCFF"/>
      <rgbColor rgb="FFE9EFF5"/>
      <rgbColor rgb="FFEDF1F4"/>
      <rgbColor rgb="FFF6F4F0"/>
      <rgbColor rgb="FF99CCFF"/>
      <rgbColor rgb="FFFF99CC"/>
      <rgbColor rgb="FFCC99FF"/>
      <rgbColor rgb="FFF1F3F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445566"/>
      <rgbColor rgb="FF339966"/>
      <rgbColor rgb="FF111111"/>
      <rgbColor rgb="FF555555"/>
      <rgbColor rgb="FF9A5B12"/>
      <rgbColor rgb="FF993366"/>
      <rgbColor rgb="FF2C4A6B"/>
      <rgbColor rgb="FF1628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5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7"/>
    <col collapsed="false" customWidth="true" hidden="false" outlineLevel="0" max="8" min="8" style="0" width="24"/>
    <col collapsed="false" customWidth="true" hidden="false" outlineLevel="0" max="9" min="9" style="0" width="15"/>
    <col collapsed="false" customWidth="true" hidden="false" outlineLevel="0" max="10" min="10" style="0" width="56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n">
        <v>1</v>
      </c>
      <c r="B2" s="4" t="s">
        <v>10</v>
      </c>
      <c r="C2" s="3" t="s">
        <v>11</v>
      </c>
      <c r="D2" s="5" t="s">
        <v>12</v>
      </c>
      <c r="E2" s="5" t="s">
        <v>13</v>
      </c>
      <c r="F2" s="6" t="s">
        <v>14</v>
      </c>
      <c r="G2" s="7" t="s">
        <v>15</v>
      </c>
      <c r="H2" s="8" t="s">
        <v>16</v>
      </c>
      <c r="I2" s="3" t="s">
        <v>17</v>
      </c>
      <c r="J2" s="5" t="s">
        <v>18</v>
      </c>
    </row>
    <row r="3" customFormat="false" ht="15" hidden="false" customHeight="false" outlineLevel="0" collapsed="false">
      <c r="A3" s="3" t="n">
        <v>2</v>
      </c>
      <c r="B3" s="4" t="s">
        <v>10</v>
      </c>
      <c r="C3" s="3" t="s">
        <v>11</v>
      </c>
      <c r="D3" s="5" t="s">
        <v>12</v>
      </c>
      <c r="E3" s="5" t="s">
        <v>13</v>
      </c>
      <c r="F3" s="9" t="s">
        <v>19</v>
      </c>
      <c r="G3" s="7" t="s">
        <v>15</v>
      </c>
      <c r="H3" s="8" t="s">
        <v>20</v>
      </c>
      <c r="I3" s="3" t="s">
        <v>21</v>
      </c>
      <c r="J3" s="5" t="s">
        <v>22</v>
      </c>
    </row>
    <row r="4" customFormat="false" ht="15" hidden="false" customHeight="false" outlineLevel="0" collapsed="false">
      <c r="A4" s="3" t="n">
        <v>3</v>
      </c>
      <c r="B4" s="4" t="s">
        <v>10</v>
      </c>
      <c r="C4" s="3" t="s">
        <v>11</v>
      </c>
      <c r="D4" s="5" t="s">
        <v>12</v>
      </c>
      <c r="E4" s="5" t="s">
        <v>13</v>
      </c>
      <c r="F4" s="6" t="s">
        <v>23</v>
      </c>
      <c r="G4" s="7" t="s">
        <v>15</v>
      </c>
      <c r="H4" s="8" t="s">
        <v>24</v>
      </c>
      <c r="I4" s="3" t="s">
        <v>25</v>
      </c>
      <c r="J4" s="5" t="s">
        <v>26</v>
      </c>
    </row>
    <row r="5" customFormat="false" ht="15" hidden="false" customHeight="false" outlineLevel="0" collapsed="false">
      <c r="A5" s="3" t="n">
        <v>4</v>
      </c>
      <c r="B5" s="4" t="s">
        <v>10</v>
      </c>
      <c r="C5" s="3" t="s">
        <v>11</v>
      </c>
      <c r="D5" s="5" t="s">
        <v>12</v>
      </c>
      <c r="E5" s="5" t="s">
        <v>13</v>
      </c>
      <c r="F5" s="9" t="s">
        <v>27</v>
      </c>
      <c r="G5" s="7" t="s">
        <v>15</v>
      </c>
      <c r="H5" s="8" t="s">
        <v>28</v>
      </c>
      <c r="I5" s="3" t="s">
        <v>29</v>
      </c>
      <c r="J5" s="10" t="s">
        <v>30</v>
      </c>
    </row>
    <row r="6" customFormat="false" ht="15" hidden="false" customHeight="false" outlineLevel="0" collapsed="false">
      <c r="A6" s="3" t="n">
        <v>5</v>
      </c>
      <c r="B6" s="4" t="s">
        <v>10</v>
      </c>
      <c r="C6" s="3" t="s">
        <v>11</v>
      </c>
      <c r="D6" s="5" t="s">
        <v>12</v>
      </c>
      <c r="E6" s="5" t="s">
        <v>13</v>
      </c>
      <c r="F6" s="9" t="s">
        <v>31</v>
      </c>
      <c r="G6" s="7" t="s">
        <v>15</v>
      </c>
      <c r="H6" s="8" t="s">
        <v>32</v>
      </c>
      <c r="I6" s="3" t="s">
        <v>33</v>
      </c>
      <c r="J6" s="10" t="s">
        <v>34</v>
      </c>
    </row>
    <row r="7" customFormat="false" ht="15" hidden="false" customHeight="false" outlineLevel="0" collapsed="false">
      <c r="A7" s="3" t="n">
        <v>6</v>
      </c>
      <c r="B7" s="4" t="s">
        <v>10</v>
      </c>
      <c r="C7" s="3" t="s">
        <v>11</v>
      </c>
      <c r="D7" s="5" t="s">
        <v>12</v>
      </c>
      <c r="E7" s="5" t="s">
        <v>13</v>
      </c>
      <c r="F7" s="9" t="s">
        <v>35</v>
      </c>
      <c r="G7" s="7" t="s">
        <v>15</v>
      </c>
      <c r="H7" s="8" t="s">
        <v>36</v>
      </c>
      <c r="I7" s="3" t="s">
        <v>37</v>
      </c>
      <c r="J7" s="5" t="s">
        <v>38</v>
      </c>
    </row>
    <row r="8" customFormat="false" ht="15" hidden="false" customHeight="false" outlineLevel="0" collapsed="false">
      <c r="A8" s="3" t="n">
        <v>7</v>
      </c>
      <c r="B8" s="4" t="s">
        <v>10</v>
      </c>
      <c r="C8" s="3" t="s">
        <v>11</v>
      </c>
      <c r="D8" s="5" t="s">
        <v>12</v>
      </c>
      <c r="E8" s="5" t="s">
        <v>39</v>
      </c>
      <c r="F8" s="9" t="s">
        <v>40</v>
      </c>
      <c r="G8" s="7" t="s">
        <v>15</v>
      </c>
      <c r="H8" s="8" t="s">
        <v>41</v>
      </c>
      <c r="I8" s="3" t="s">
        <v>21</v>
      </c>
      <c r="J8" s="10" t="s">
        <v>42</v>
      </c>
    </row>
    <row r="9" customFormat="false" ht="15" hidden="false" customHeight="false" outlineLevel="0" collapsed="false">
      <c r="A9" s="3" t="n">
        <v>8</v>
      </c>
      <c r="B9" s="4" t="s">
        <v>10</v>
      </c>
      <c r="C9" s="3" t="s">
        <v>11</v>
      </c>
      <c r="D9" s="5" t="s">
        <v>12</v>
      </c>
      <c r="E9" s="5" t="s">
        <v>39</v>
      </c>
      <c r="F9" s="9" t="s">
        <v>43</v>
      </c>
      <c r="G9" s="7" t="s">
        <v>15</v>
      </c>
      <c r="H9" s="8" t="s">
        <v>44</v>
      </c>
      <c r="I9" s="3" t="s">
        <v>45</v>
      </c>
      <c r="J9" s="10" t="s">
        <v>46</v>
      </c>
    </row>
    <row r="10" customFormat="false" ht="15" hidden="false" customHeight="false" outlineLevel="0" collapsed="false">
      <c r="A10" s="3" t="n">
        <v>9</v>
      </c>
      <c r="B10" s="4" t="s">
        <v>10</v>
      </c>
      <c r="C10" s="3" t="s">
        <v>11</v>
      </c>
      <c r="D10" s="5" t="s">
        <v>12</v>
      </c>
      <c r="E10" s="5" t="s">
        <v>39</v>
      </c>
      <c r="F10" s="6" t="s">
        <v>47</v>
      </c>
      <c r="G10" s="7" t="s">
        <v>15</v>
      </c>
      <c r="H10" s="8" t="s">
        <v>48</v>
      </c>
      <c r="I10" s="3" t="s">
        <v>49</v>
      </c>
      <c r="J10" s="5" t="s">
        <v>50</v>
      </c>
    </row>
    <row r="11" customFormat="false" ht="15" hidden="false" customHeight="false" outlineLevel="0" collapsed="false">
      <c r="A11" s="3" t="n">
        <v>10</v>
      </c>
      <c r="B11" s="4" t="s">
        <v>10</v>
      </c>
      <c r="C11" s="3" t="s">
        <v>11</v>
      </c>
      <c r="D11" s="5" t="s">
        <v>12</v>
      </c>
      <c r="E11" s="5" t="s">
        <v>39</v>
      </c>
      <c r="F11" s="9" t="s">
        <v>51</v>
      </c>
      <c r="G11" s="7" t="s">
        <v>15</v>
      </c>
      <c r="H11" s="8" t="s">
        <v>52</v>
      </c>
      <c r="I11" s="3" t="s">
        <v>53</v>
      </c>
      <c r="J11" s="5" t="s">
        <v>54</v>
      </c>
    </row>
    <row r="12" customFormat="false" ht="15" hidden="false" customHeight="false" outlineLevel="0" collapsed="false">
      <c r="A12" s="3" t="n">
        <v>11</v>
      </c>
      <c r="B12" s="4" t="s">
        <v>10</v>
      </c>
      <c r="C12" s="3" t="s">
        <v>11</v>
      </c>
      <c r="D12" s="5" t="s">
        <v>12</v>
      </c>
      <c r="E12" s="5" t="s">
        <v>39</v>
      </c>
      <c r="F12" s="9" t="s">
        <v>55</v>
      </c>
      <c r="G12" s="7" t="s">
        <v>15</v>
      </c>
      <c r="H12" s="8" t="s">
        <v>56</v>
      </c>
      <c r="I12" s="3" t="s">
        <v>57</v>
      </c>
      <c r="J12" s="10" t="s">
        <v>58</v>
      </c>
    </row>
    <row r="13" customFormat="false" ht="15" hidden="false" customHeight="false" outlineLevel="0" collapsed="false">
      <c r="A13" s="3" t="n">
        <v>12</v>
      </c>
      <c r="B13" s="4" t="s">
        <v>10</v>
      </c>
      <c r="C13" s="3" t="s">
        <v>11</v>
      </c>
      <c r="D13" s="5" t="s">
        <v>12</v>
      </c>
      <c r="E13" s="5" t="s">
        <v>39</v>
      </c>
      <c r="F13" s="9" t="s">
        <v>59</v>
      </c>
      <c r="G13" s="7" t="s">
        <v>15</v>
      </c>
      <c r="H13" s="8" t="s">
        <v>60</v>
      </c>
      <c r="I13" s="3" t="s">
        <v>57</v>
      </c>
      <c r="J13" s="10" t="s">
        <v>61</v>
      </c>
    </row>
    <row r="14" customFormat="false" ht="15" hidden="false" customHeight="false" outlineLevel="0" collapsed="false">
      <c r="A14" s="3" t="n">
        <v>13</v>
      </c>
      <c r="B14" s="4" t="s">
        <v>10</v>
      </c>
      <c r="C14" s="3" t="s">
        <v>11</v>
      </c>
      <c r="D14" s="5" t="s">
        <v>12</v>
      </c>
      <c r="E14" s="5" t="s">
        <v>62</v>
      </c>
      <c r="F14" s="9" t="s">
        <v>63</v>
      </c>
      <c r="G14" s="7" t="s">
        <v>15</v>
      </c>
      <c r="H14" s="8" t="s">
        <v>64</v>
      </c>
      <c r="I14" s="3" t="s">
        <v>65</v>
      </c>
      <c r="J14" s="5" t="s">
        <v>66</v>
      </c>
    </row>
    <row r="15" customFormat="false" ht="15" hidden="false" customHeight="false" outlineLevel="0" collapsed="false">
      <c r="A15" s="3" t="n">
        <v>14</v>
      </c>
      <c r="B15" s="4" t="s">
        <v>10</v>
      </c>
      <c r="C15" s="3" t="s">
        <v>11</v>
      </c>
      <c r="D15" s="5" t="s">
        <v>12</v>
      </c>
      <c r="E15" s="5" t="s">
        <v>62</v>
      </c>
      <c r="F15" s="6" t="s">
        <v>67</v>
      </c>
      <c r="G15" s="7" t="s">
        <v>15</v>
      </c>
      <c r="H15" s="8" t="s">
        <v>68</v>
      </c>
      <c r="I15" s="3" t="s">
        <v>29</v>
      </c>
      <c r="J15" s="10" t="s">
        <v>69</v>
      </c>
    </row>
    <row r="16" customFormat="false" ht="15" hidden="false" customHeight="false" outlineLevel="0" collapsed="false">
      <c r="A16" s="3" t="n">
        <v>15</v>
      </c>
      <c r="B16" s="4" t="s">
        <v>10</v>
      </c>
      <c r="C16" s="3" t="s">
        <v>11</v>
      </c>
      <c r="D16" s="5" t="s">
        <v>12</v>
      </c>
      <c r="E16" s="5" t="s">
        <v>62</v>
      </c>
      <c r="F16" s="9" t="s">
        <v>70</v>
      </c>
      <c r="G16" s="7" t="s">
        <v>15</v>
      </c>
      <c r="H16" s="8" t="s">
        <v>71</v>
      </c>
      <c r="I16" s="3" t="s">
        <v>72</v>
      </c>
      <c r="J16" s="5" t="s">
        <v>73</v>
      </c>
    </row>
    <row r="17" customFormat="false" ht="15" hidden="false" customHeight="false" outlineLevel="0" collapsed="false">
      <c r="A17" s="3" t="n">
        <v>16</v>
      </c>
      <c r="B17" s="4" t="s">
        <v>10</v>
      </c>
      <c r="C17" s="3" t="s">
        <v>11</v>
      </c>
      <c r="D17" s="5" t="s">
        <v>12</v>
      </c>
      <c r="E17" s="5" t="s">
        <v>62</v>
      </c>
      <c r="F17" s="9" t="s">
        <v>74</v>
      </c>
      <c r="G17" s="7" t="s">
        <v>15</v>
      </c>
      <c r="H17" s="8" t="s">
        <v>75</v>
      </c>
      <c r="I17" s="3" t="s">
        <v>76</v>
      </c>
      <c r="J17" s="5" t="s">
        <v>77</v>
      </c>
    </row>
    <row r="18" customFormat="false" ht="15" hidden="false" customHeight="false" outlineLevel="0" collapsed="false">
      <c r="A18" s="3" t="n">
        <v>17</v>
      </c>
      <c r="B18" s="4" t="s">
        <v>10</v>
      </c>
      <c r="C18" s="3" t="s">
        <v>11</v>
      </c>
      <c r="D18" s="5" t="s">
        <v>12</v>
      </c>
      <c r="E18" s="5" t="s">
        <v>62</v>
      </c>
      <c r="F18" s="9" t="s">
        <v>78</v>
      </c>
      <c r="G18" s="7" t="s">
        <v>15</v>
      </c>
      <c r="H18" s="8" t="s">
        <v>79</v>
      </c>
      <c r="I18" s="3" t="s">
        <v>80</v>
      </c>
      <c r="J18" s="5" t="s">
        <v>81</v>
      </c>
    </row>
    <row r="19" customFormat="false" ht="15" hidden="false" customHeight="false" outlineLevel="0" collapsed="false">
      <c r="A19" s="3" t="n">
        <v>18</v>
      </c>
      <c r="B19" s="4" t="s">
        <v>10</v>
      </c>
      <c r="C19" s="3" t="s">
        <v>11</v>
      </c>
      <c r="D19" s="5" t="s">
        <v>12</v>
      </c>
      <c r="E19" s="5" t="s">
        <v>62</v>
      </c>
      <c r="F19" s="9" t="s">
        <v>82</v>
      </c>
      <c r="G19" s="7" t="s">
        <v>15</v>
      </c>
      <c r="H19" s="8" t="s">
        <v>83</v>
      </c>
      <c r="I19" s="3" t="s">
        <v>21</v>
      </c>
      <c r="J19" s="5" t="s">
        <v>84</v>
      </c>
    </row>
    <row r="20" customFormat="false" ht="15" hidden="false" customHeight="false" outlineLevel="0" collapsed="false">
      <c r="A20" s="3" t="n">
        <v>19</v>
      </c>
      <c r="B20" s="4" t="s">
        <v>10</v>
      </c>
      <c r="C20" s="3" t="s">
        <v>11</v>
      </c>
      <c r="D20" s="5" t="s">
        <v>12</v>
      </c>
      <c r="E20" s="5" t="s">
        <v>85</v>
      </c>
      <c r="F20" s="9" t="s">
        <v>86</v>
      </c>
      <c r="G20" s="7" t="s">
        <v>15</v>
      </c>
      <c r="H20" s="8" t="s">
        <v>87</v>
      </c>
      <c r="I20" s="3" t="s">
        <v>88</v>
      </c>
      <c r="J20" s="5" t="s">
        <v>89</v>
      </c>
    </row>
    <row r="21" customFormat="false" ht="15" hidden="false" customHeight="false" outlineLevel="0" collapsed="false">
      <c r="A21" s="3" t="n">
        <v>20</v>
      </c>
      <c r="B21" s="4" t="s">
        <v>10</v>
      </c>
      <c r="C21" s="3" t="s">
        <v>11</v>
      </c>
      <c r="D21" s="5" t="s">
        <v>12</v>
      </c>
      <c r="E21" s="5" t="s">
        <v>85</v>
      </c>
      <c r="F21" s="9" t="s">
        <v>90</v>
      </c>
      <c r="G21" s="7" t="s">
        <v>15</v>
      </c>
      <c r="H21" s="8" t="s">
        <v>91</v>
      </c>
      <c r="I21" s="3" t="s">
        <v>57</v>
      </c>
      <c r="J21" s="10" t="s">
        <v>92</v>
      </c>
    </row>
    <row r="22" customFormat="false" ht="15" hidden="false" customHeight="false" outlineLevel="0" collapsed="false">
      <c r="A22" s="3" t="n">
        <v>21</v>
      </c>
      <c r="B22" s="4" t="s">
        <v>10</v>
      </c>
      <c r="C22" s="3" t="s">
        <v>11</v>
      </c>
      <c r="D22" s="5" t="s">
        <v>12</v>
      </c>
      <c r="E22" s="5" t="s">
        <v>85</v>
      </c>
      <c r="F22" s="9" t="s">
        <v>93</v>
      </c>
      <c r="G22" s="7" t="s">
        <v>15</v>
      </c>
      <c r="H22" s="8" t="s">
        <v>94</v>
      </c>
      <c r="I22" s="3" t="s">
        <v>57</v>
      </c>
      <c r="J22" s="10" t="s">
        <v>95</v>
      </c>
    </row>
    <row r="23" customFormat="false" ht="15" hidden="false" customHeight="false" outlineLevel="0" collapsed="false">
      <c r="A23" s="3" t="n">
        <v>22</v>
      </c>
      <c r="B23" s="4" t="s">
        <v>10</v>
      </c>
      <c r="C23" s="3" t="s">
        <v>11</v>
      </c>
      <c r="D23" s="5" t="s">
        <v>12</v>
      </c>
      <c r="E23" s="5" t="s">
        <v>85</v>
      </c>
      <c r="F23" s="9" t="s">
        <v>96</v>
      </c>
      <c r="G23" s="7" t="s">
        <v>15</v>
      </c>
      <c r="H23" s="8" t="s">
        <v>97</v>
      </c>
      <c r="I23" s="3" t="s">
        <v>57</v>
      </c>
      <c r="J23" s="10" t="s">
        <v>98</v>
      </c>
    </row>
    <row r="24" customFormat="false" ht="15" hidden="false" customHeight="false" outlineLevel="0" collapsed="false">
      <c r="A24" s="3" t="n">
        <v>23</v>
      </c>
      <c r="B24" s="4" t="s">
        <v>10</v>
      </c>
      <c r="C24" s="3" t="s">
        <v>11</v>
      </c>
      <c r="D24" s="5" t="s">
        <v>12</v>
      </c>
      <c r="E24" s="5" t="s">
        <v>85</v>
      </c>
      <c r="F24" s="9" t="s">
        <v>99</v>
      </c>
      <c r="G24" s="7" t="s">
        <v>15</v>
      </c>
      <c r="H24" s="8" t="s">
        <v>100</v>
      </c>
      <c r="I24" s="3" t="s">
        <v>45</v>
      </c>
      <c r="J24" s="10" t="s">
        <v>101</v>
      </c>
    </row>
    <row r="25" customFormat="false" ht="15" hidden="false" customHeight="false" outlineLevel="0" collapsed="false">
      <c r="A25" s="3" t="n">
        <v>24</v>
      </c>
      <c r="B25" s="4" t="s">
        <v>10</v>
      </c>
      <c r="C25" s="3" t="s">
        <v>11</v>
      </c>
      <c r="D25" s="5" t="s">
        <v>12</v>
      </c>
      <c r="E25" s="5" t="s">
        <v>85</v>
      </c>
      <c r="F25" s="9" t="s">
        <v>102</v>
      </c>
      <c r="G25" s="7" t="s">
        <v>15</v>
      </c>
      <c r="H25" s="8" t="s">
        <v>103</v>
      </c>
      <c r="I25" s="3" t="s">
        <v>57</v>
      </c>
      <c r="J25" s="10" t="s">
        <v>104</v>
      </c>
    </row>
    <row r="26" customFormat="false" ht="15" hidden="false" customHeight="false" outlineLevel="0" collapsed="false">
      <c r="A26" s="3" t="n">
        <v>25</v>
      </c>
      <c r="B26" s="4" t="s">
        <v>10</v>
      </c>
      <c r="C26" s="3" t="s">
        <v>11</v>
      </c>
      <c r="D26" s="5" t="s">
        <v>12</v>
      </c>
      <c r="E26" s="5" t="s">
        <v>105</v>
      </c>
      <c r="F26" s="9" t="s">
        <v>106</v>
      </c>
      <c r="G26" s="7" t="s">
        <v>15</v>
      </c>
      <c r="H26" s="8" t="s">
        <v>107</v>
      </c>
      <c r="I26" s="3" t="s">
        <v>108</v>
      </c>
      <c r="J26" s="5" t="s">
        <v>109</v>
      </c>
    </row>
    <row r="27" customFormat="false" ht="15" hidden="false" customHeight="false" outlineLevel="0" collapsed="false">
      <c r="A27" s="3" t="n">
        <v>26</v>
      </c>
      <c r="B27" s="4" t="s">
        <v>10</v>
      </c>
      <c r="C27" s="3" t="s">
        <v>11</v>
      </c>
      <c r="D27" s="5" t="s">
        <v>12</v>
      </c>
      <c r="E27" s="5" t="s">
        <v>105</v>
      </c>
      <c r="F27" s="9" t="s">
        <v>110</v>
      </c>
      <c r="G27" s="11" t="s">
        <v>111</v>
      </c>
      <c r="H27" s="8" t="s">
        <v>112</v>
      </c>
      <c r="I27" s="3" t="s">
        <v>80</v>
      </c>
      <c r="J27" s="5" t="s">
        <v>113</v>
      </c>
    </row>
    <row r="28" customFormat="false" ht="15" hidden="false" customHeight="false" outlineLevel="0" collapsed="false">
      <c r="A28" s="3" t="n">
        <v>27</v>
      </c>
      <c r="B28" s="4" t="s">
        <v>10</v>
      </c>
      <c r="C28" s="3" t="s">
        <v>11</v>
      </c>
      <c r="D28" s="5" t="s">
        <v>12</v>
      </c>
      <c r="E28" s="5" t="s">
        <v>105</v>
      </c>
      <c r="F28" s="9" t="s">
        <v>114</v>
      </c>
      <c r="G28" s="7" t="s">
        <v>15</v>
      </c>
      <c r="H28" s="8" t="s">
        <v>115</v>
      </c>
      <c r="I28" s="3" t="s">
        <v>65</v>
      </c>
      <c r="J28" s="10" t="s">
        <v>116</v>
      </c>
    </row>
    <row r="29" customFormat="false" ht="15" hidden="false" customHeight="false" outlineLevel="0" collapsed="false">
      <c r="A29" s="3" t="n">
        <v>28</v>
      </c>
      <c r="B29" s="4" t="s">
        <v>10</v>
      </c>
      <c r="C29" s="3" t="s">
        <v>11</v>
      </c>
      <c r="D29" s="5" t="s">
        <v>12</v>
      </c>
      <c r="E29" s="5" t="s">
        <v>105</v>
      </c>
      <c r="F29" s="9" t="s">
        <v>117</v>
      </c>
      <c r="G29" s="7" t="s">
        <v>15</v>
      </c>
      <c r="H29" s="8" t="s">
        <v>118</v>
      </c>
      <c r="I29" s="3" t="s">
        <v>80</v>
      </c>
      <c r="J29" s="5" t="s">
        <v>119</v>
      </c>
    </row>
    <row r="30" customFormat="false" ht="15" hidden="false" customHeight="false" outlineLevel="0" collapsed="false">
      <c r="A30" s="3" t="n">
        <v>29</v>
      </c>
      <c r="B30" s="4" t="s">
        <v>10</v>
      </c>
      <c r="C30" s="3" t="s">
        <v>11</v>
      </c>
      <c r="D30" s="5" t="s">
        <v>12</v>
      </c>
      <c r="E30" s="5" t="s">
        <v>105</v>
      </c>
      <c r="F30" s="9" t="s">
        <v>120</v>
      </c>
      <c r="G30" s="7" t="s">
        <v>15</v>
      </c>
      <c r="H30" s="8" t="s">
        <v>121</v>
      </c>
      <c r="I30" s="3" t="s">
        <v>21</v>
      </c>
      <c r="J30" s="5" t="s">
        <v>122</v>
      </c>
    </row>
    <row r="31" customFormat="false" ht="15" hidden="false" customHeight="false" outlineLevel="0" collapsed="false">
      <c r="A31" s="3" t="n">
        <v>30</v>
      </c>
      <c r="B31" s="4" t="s">
        <v>10</v>
      </c>
      <c r="C31" s="3" t="s">
        <v>11</v>
      </c>
      <c r="D31" s="5" t="s">
        <v>12</v>
      </c>
      <c r="E31" s="5" t="s">
        <v>105</v>
      </c>
      <c r="F31" s="9" t="s">
        <v>123</v>
      </c>
      <c r="G31" s="7" t="s">
        <v>15</v>
      </c>
      <c r="H31" s="8" t="s">
        <v>124</v>
      </c>
      <c r="I31" s="3" t="s">
        <v>125</v>
      </c>
      <c r="J31" s="5" t="s">
        <v>126</v>
      </c>
    </row>
    <row r="32" customFormat="false" ht="15" hidden="false" customHeight="false" outlineLevel="0" collapsed="false">
      <c r="A32" s="3" t="n">
        <v>31</v>
      </c>
      <c r="B32" s="4" t="s">
        <v>10</v>
      </c>
      <c r="C32" s="3" t="s">
        <v>11</v>
      </c>
      <c r="D32" s="5" t="s">
        <v>12</v>
      </c>
      <c r="E32" s="5" t="s">
        <v>127</v>
      </c>
      <c r="F32" s="9" t="s">
        <v>128</v>
      </c>
      <c r="G32" s="7" t="s">
        <v>15</v>
      </c>
      <c r="H32" s="8" t="s">
        <v>129</v>
      </c>
      <c r="I32" s="3" t="s">
        <v>17</v>
      </c>
      <c r="J32" s="5" t="s">
        <v>130</v>
      </c>
    </row>
    <row r="33" customFormat="false" ht="15" hidden="false" customHeight="false" outlineLevel="0" collapsed="false">
      <c r="A33" s="3" t="n">
        <v>32</v>
      </c>
      <c r="B33" s="4" t="s">
        <v>10</v>
      </c>
      <c r="C33" s="3" t="s">
        <v>11</v>
      </c>
      <c r="D33" s="5" t="s">
        <v>12</v>
      </c>
      <c r="E33" s="5" t="s">
        <v>127</v>
      </c>
      <c r="F33" s="6" t="s">
        <v>131</v>
      </c>
      <c r="G33" s="7" t="s">
        <v>15</v>
      </c>
      <c r="H33" s="8" t="s">
        <v>132</v>
      </c>
      <c r="I33" s="3" t="s">
        <v>33</v>
      </c>
      <c r="J33" s="10" t="s">
        <v>133</v>
      </c>
    </row>
    <row r="34" customFormat="false" ht="15" hidden="false" customHeight="false" outlineLevel="0" collapsed="false">
      <c r="A34" s="3" t="n">
        <v>33</v>
      </c>
      <c r="B34" s="4" t="s">
        <v>10</v>
      </c>
      <c r="C34" s="3" t="s">
        <v>11</v>
      </c>
      <c r="D34" s="5" t="s">
        <v>12</v>
      </c>
      <c r="E34" s="5" t="s">
        <v>127</v>
      </c>
      <c r="F34" s="9" t="s">
        <v>134</v>
      </c>
      <c r="G34" s="7" t="s">
        <v>15</v>
      </c>
      <c r="H34" s="8" t="s">
        <v>135</v>
      </c>
      <c r="I34" s="3" t="s">
        <v>17</v>
      </c>
      <c r="J34" s="5" t="s">
        <v>136</v>
      </c>
    </row>
    <row r="35" customFormat="false" ht="15" hidden="false" customHeight="false" outlineLevel="0" collapsed="false">
      <c r="A35" s="3" t="n">
        <v>34</v>
      </c>
      <c r="B35" s="4" t="s">
        <v>10</v>
      </c>
      <c r="C35" s="3" t="s">
        <v>11</v>
      </c>
      <c r="D35" s="5" t="s">
        <v>12</v>
      </c>
      <c r="E35" s="5" t="s">
        <v>127</v>
      </c>
      <c r="F35" s="9" t="s">
        <v>137</v>
      </c>
      <c r="G35" s="7" t="s">
        <v>15</v>
      </c>
      <c r="H35" s="8" t="s">
        <v>138</v>
      </c>
      <c r="I35" s="3" t="s">
        <v>17</v>
      </c>
      <c r="J35" s="5" t="s">
        <v>139</v>
      </c>
    </row>
    <row r="36" customFormat="false" ht="15" hidden="false" customHeight="false" outlineLevel="0" collapsed="false">
      <c r="A36" s="3" t="n">
        <v>35</v>
      </c>
      <c r="B36" s="4" t="s">
        <v>10</v>
      </c>
      <c r="C36" s="3" t="s">
        <v>11</v>
      </c>
      <c r="D36" s="5" t="s">
        <v>12</v>
      </c>
      <c r="E36" s="5" t="s">
        <v>127</v>
      </c>
      <c r="F36" s="9" t="s">
        <v>140</v>
      </c>
      <c r="G36" s="7" t="s">
        <v>15</v>
      </c>
      <c r="H36" s="8" t="s">
        <v>141</v>
      </c>
      <c r="I36" s="3" t="s">
        <v>142</v>
      </c>
      <c r="J36" s="10" t="s">
        <v>143</v>
      </c>
    </row>
    <row r="37" customFormat="false" ht="15" hidden="false" customHeight="false" outlineLevel="0" collapsed="false">
      <c r="A37" s="3" t="n">
        <v>36</v>
      </c>
      <c r="B37" s="4" t="s">
        <v>10</v>
      </c>
      <c r="C37" s="3" t="s">
        <v>11</v>
      </c>
      <c r="D37" s="5" t="s">
        <v>12</v>
      </c>
      <c r="E37" s="5" t="s">
        <v>127</v>
      </c>
      <c r="F37" s="9" t="s">
        <v>144</v>
      </c>
      <c r="G37" s="7" t="s">
        <v>15</v>
      </c>
      <c r="H37" s="8" t="s">
        <v>145</v>
      </c>
      <c r="I37" s="3" t="s">
        <v>45</v>
      </c>
      <c r="J37" s="10" t="s">
        <v>146</v>
      </c>
    </row>
    <row r="38" customFormat="false" ht="15" hidden="false" customHeight="false" outlineLevel="0" collapsed="false">
      <c r="A38" s="3" t="n">
        <v>37</v>
      </c>
      <c r="B38" s="4" t="s">
        <v>10</v>
      </c>
      <c r="C38" s="3" t="s">
        <v>11</v>
      </c>
      <c r="D38" s="5" t="s">
        <v>12</v>
      </c>
      <c r="E38" s="5" t="s">
        <v>147</v>
      </c>
      <c r="F38" s="9" t="s">
        <v>148</v>
      </c>
      <c r="G38" s="7" t="s">
        <v>15</v>
      </c>
      <c r="H38" s="8" t="s">
        <v>149</v>
      </c>
      <c r="I38" s="3" t="s">
        <v>125</v>
      </c>
      <c r="J38" s="5" t="s">
        <v>150</v>
      </c>
    </row>
    <row r="39" customFormat="false" ht="15" hidden="false" customHeight="false" outlineLevel="0" collapsed="false">
      <c r="A39" s="3" t="n">
        <v>38</v>
      </c>
      <c r="B39" s="4" t="s">
        <v>10</v>
      </c>
      <c r="C39" s="3" t="s">
        <v>11</v>
      </c>
      <c r="D39" s="5" t="s">
        <v>12</v>
      </c>
      <c r="E39" s="5" t="s">
        <v>147</v>
      </c>
      <c r="F39" s="9" t="s">
        <v>151</v>
      </c>
      <c r="G39" s="11" t="s">
        <v>111</v>
      </c>
      <c r="H39" s="8" t="s">
        <v>152</v>
      </c>
      <c r="I39" s="3" t="s">
        <v>53</v>
      </c>
      <c r="J39" s="5" t="s">
        <v>153</v>
      </c>
    </row>
    <row r="40" customFormat="false" ht="15" hidden="false" customHeight="false" outlineLevel="0" collapsed="false">
      <c r="A40" s="3" t="n">
        <v>39</v>
      </c>
      <c r="B40" s="4" t="s">
        <v>10</v>
      </c>
      <c r="C40" s="3" t="s">
        <v>11</v>
      </c>
      <c r="D40" s="5" t="s">
        <v>12</v>
      </c>
      <c r="E40" s="5" t="s">
        <v>147</v>
      </c>
      <c r="F40" s="9" t="s">
        <v>154</v>
      </c>
      <c r="G40" s="11" t="s">
        <v>111</v>
      </c>
      <c r="H40" s="8" t="s">
        <v>155</v>
      </c>
      <c r="I40" s="3" t="s">
        <v>21</v>
      </c>
      <c r="J40" s="5" t="s">
        <v>156</v>
      </c>
    </row>
    <row r="41" customFormat="false" ht="15" hidden="false" customHeight="false" outlineLevel="0" collapsed="false">
      <c r="A41" s="3" t="n">
        <v>40</v>
      </c>
      <c r="B41" s="4" t="s">
        <v>10</v>
      </c>
      <c r="C41" s="3" t="s">
        <v>11</v>
      </c>
      <c r="D41" s="5" t="s">
        <v>12</v>
      </c>
      <c r="E41" s="5" t="s">
        <v>147</v>
      </c>
      <c r="F41" s="9" t="s">
        <v>157</v>
      </c>
      <c r="G41" s="11" t="s">
        <v>111</v>
      </c>
      <c r="H41" s="8" t="s">
        <v>158</v>
      </c>
      <c r="I41" s="3" t="s">
        <v>53</v>
      </c>
      <c r="J41" s="5" t="s">
        <v>159</v>
      </c>
    </row>
    <row r="42" customFormat="false" ht="15" hidden="false" customHeight="false" outlineLevel="0" collapsed="false">
      <c r="A42" s="3" t="n">
        <v>41</v>
      </c>
      <c r="B42" s="4" t="s">
        <v>10</v>
      </c>
      <c r="C42" s="3" t="s">
        <v>11</v>
      </c>
      <c r="D42" s="5" t="s">
        <v>12</v>
      </c>
      <c r="E42" s="5" t="s">
        <v>147</v>
      </c>
      <c r="F42" s="9" t="s">
        <v>160</v>
      </c>
      <c r="G42" s="11" t="s">
        <v>111</v>
      </c>
      <c r="H42" s="8" t="s">
        <v>161</v>
      </c>
      <c r="I42" s="3" t="s">
        <v>53</v>
      </c>
      <c r="J42" s="5" t="s">
        <v>162</v>
      </c>
    </row>
    <row r="43" customFormat="false" ht="15" hidden="false" customHeight="false" outlineLevel="0" collapsed="false">
      <c r="A43" s="3" t="n">
        <v>42</v>
      </c>
      <c r="B43" s="4" t="s">
        <v>10</v>
      </c>
      <c r="C43" s="3" t="s">
        <v>11</v>
      </c>
      <c r="D43" s="5" t="s">
        <v>12</v>
      </c>
      <c r="E43" s="5" t="s">
        <v>147</v>
      </c>
      <c r="F43" s="9" t="s">
        <v>163</v>
      </c>
      <c r="G43" s="7" t="s">
        <v>15</v>
      </c>
      <c r="H43" s="8" t="s">
        <v>164</v>
      </c>
      <c r="I43" s="3" t="s">
        <v>17</v>
      </c>
      <c r="J43" s="5" t="s">
        <v>165</v>
      </c>
    </row>
    <row r="44" customFormat="false" ht="15" hidden="false" customHeight="false" outlineLevel="0" collapsed="false">
      <c r="A44" s="3" t="n">
        <v>43</v>
      </c>
      <c r="B44" s="4" t="s">
        <v>10</v>
      </c>
      <c r="C44" s="3" t="s">
        <v>11</v>
      </c>
      <c r="D44" s="5" t="s">
        <v>12</v>
      </c>
      <c r="E44" s="5" t="s">
        <v>166</v>
      </c>
      <c r="F44" s="6" t="s">
        <v>167</v>
      </c>
      <c r="G44" s="12" t="s">
        <v>168</v>
      </c>
      <c r="H44" s="13" t="s">
        <v>169</v>
      </c>
      <c r="I44" s="3" t="s">
        <v>169</v>
      </c>
      <c r="J44" s="5" t="s">
        <v>170</v>
      </c>
    </row>
    <row r="45" customFormat="false" ht="15" hidden="false" customHeight="false" outlineLevel="0" collapsed="false">
      <c r="A45" s="3" t="n">
        <v>44</v>
      </c>
      <c r="B45" s="4" t="s">
        <v>10</v>
      </c>
      <c r="C45" s="3" t="s">
        <v>11</v>
      </c>
      <c r="D45" s="5" t="s">
        <v>12</v>
      </c>
      <c r="E45" s="5" t="s">
        <v>166</v>
      </c>
      <c r="F45" s="6" t="s">
        <v>171</v>
      </c>
      <c r="G45" s="12" t="s">
        <v>168</v>
      </c>
      <c r="H45" s="13" t="s">
        <v>169</v>
      </c>
      <c r="I45" s="3" t="s">
        <v>169</v>
      </c>
      <c r="J45" s="10" t="s">
        <v>172</v>
      </c>
    </row>
    <row r="46" customFormat="false" ht="15" hidden="false" customHeight="false" outlineLevel="0" collapsed="false">
      <c r="A46" s="3" t="n">
        <v>45</v>
      </c>
      <c r="B46" s="4" t="s">
        <v>10</v>
      </c>
      <c r="C46" s="3" t="s">
        <v>11</v>
      </c>
      <c r="D46" s="5" t="s">
        <v>12</v>
      </c>
      <c r="E46" s="5" t="s">
        <v>166</v>
      </c>
      <c r="F46" s="6" t="s">
        <v>173</v>
      </c>
      <c r="G46" s="12" t="s">
        <v>168</v>
      </c>
      <c r="H46" s="13" t="s">
        <v>169</v>
      </c>
      <c r="I46" s="3" t="s">
        <v>169</v>
      </c>
      <c r="J46" s="5" t="s">
        <v>174</v>
      </c>
    </row>
    <row r="47" customFormat="false" ht="15" hidden="false" customHeight="false" outlineLevel="0" collapsed="false">
      <c r="A47" s="3" t="n">
        <v>46</v>
      </c>
      <c r="B47" s="4" t="s">
        <v>10</v>
      </c>
      <c r="C47" s="3" t="s">
        <v>11</v>
      </c>
      <c r="D47" s="5" t="s">
        <v>12</v>
      </c>
      <c r="E47" s="5" t="s">
        <v>166</v>
      </c>
      <c r="F47" s="9" t="s">
        <v>175</v>
      </c>
      <c r="G47" s="7" t="s">
        <v>15</v>
      </c>
      <c r="H47" s="8" t="s">
        <v>176</v>
      </c>
      <c r="I47" s="3" t="s">
        <v>57</v>
      </c>
      <c r="J47" s="10" t="s">
        <v>177</v>
      </c>
    </row>
    <row r="48" customFormat="false" ht="15" hidden="false" customHeight="false" outlineLevel="0" collapsed="false">
      <c r="A48" s="3" t="n">
        <v>47</v>
      </c>
      <c r="B48" s="4" t="s">
        <v>10</v>
      </c>
      <c r="C48" s="3" t="s">
        <v>11</v>
      </c>
      <c r="D48" s="5" t="s">
        <v>12</v>
      </c>
      <c r="E48" s="5" t="s">
        <v>166</v>
      </c>
      <c r="F48" s="9" t="s">
        <v>178</v>
      </c>
      <c r="G48" s="7" t="s">
        <v>15</v>
      </c>
      <c r="H48" s="8" t="s">
        <v>179</v>
      </c>
      <c r="I48" s="3" t="s">
        <v>53</v>
      </c>
      <c r="J48" s="5" t="s">
        <v>180</v>
      </c>
    </row>
    <row r="49" customFormat="false" ht="15" hidden="false" customHeight="false" outlineLevel="0" collapsed="false">
      <c r="A49" s="3" t="n">
        <v>48</v>
      </c>
      <c r="B49" s="4" t="s">
        <v>10</v>
      </c>
      <c r="C49" s="3" t="s">
        <v>11</v>
      </c>
      <c r="D49" s="5" t="s">
        <v>12</v>
      </c>
      <c r="E49" s="5" t="s">
        <v>166</v>
      </c>
      <c r="F49" s="9" t="s">
        <v>181</v>
      </c>
      <c r="G49" s="7" t="s">
        <v>15</v>
      </c>
      <c r="H49" s="8" t="s">
        <v>182</v>
      </c>
      <c r="I49" s="3" t="s">
        <v>57</v>
      </c>
      <c r="J49" s="10" t="s">
        <v>183</v>
      </c>
    </row>
    <row r="50" customFormat="false" ht="15" hidden="false" customHeight="false" outlineLevel="0" collapsed="false">
      <c r="A50" s="3" t="n">
        <v>49</v>
      </c>
      <c r="B50" s="4" t="s">
        <v>10</v>
      </c>
      <c r="C50" s="3" t="s">
        <v>184</v>
      </c>
      <c r="D50" s="5" t="s">
        <v>185</v>
      </c>
      <c r="E50" s="5" t="s">
        <v>186</v>
      </c>
      <c r="F50" s="6" t="s">
        <v>187</v>
      </c>
      <c r="G50" s="14" t="s">
        <v>188</v>
      </c>
      <c r="H50" s="15" t="s">
        <v>189</v>
      </c>
      <c r="I50" s="3" t="s">
        <v>169</v>
      </c>
      <c r="J50" s="5" t="s">
        <v>190</v>
      </c>
    </row>
    <row r="51" customFormat="false" ht="15" hidden="false" customHeight="false" outlineLevel="0" collapsed="false">
      <c r="A51" s="3" t="n">
        <v>50</v>
      </c>
      <c r="B51" s="4" t="s">
        <v>10</v>
      </c>
      <c r="C51" s="3" t="s">
        <v>184</v>
      </c>
      <c r="D51" s="5" t="s">
        <v>185</v>
      </c>
      <c r="E51" s="5" t="s">
        <v>186</v>
      </c>
      <c r="F51" s="6" t="s">
        <v>191</v>
      </c>
      <c r="G51" s="14" t="s">
        <v>188</v>
      </c>
      <c r="H51" s="15" t="s">
        <v>192</v>
      </c>
      <c r="I51" s="3" t="s">
        <v>169</v>
      </c>
      <c r="J51" s="5" t="s">
        <v>193</v>
      </c>
    </row>
    <row r="52" customFormat="false" ht="15" hidden="false" customHeight="false" outlineLevel="0" collapsed="false">
      <c r="A52" s="3" t="n">
        <v>51</v>
      </c>
      <c r="B52" s="4" t="s">
        <v>10</v>
      </c>
      <c r="C52" s="3" t="s">
        <v>184</v>
      </c>
      <c r="D52" s="5" t="s">
        <v>185</v>
      </c>
      <c r="E52" s="5" t="s">
        <v>186</v>
      </c>
      <c r="F52" s="6" t="s">
        <v>194</v>
      </c>
      <c r="G52" s="14" t="s">
        <v>188</v>
      </c>
      <c r="H52" s="15" t="s">
        <v>195</v>
      </c>
      <c r="I52" s="3" t="s">
        <v>169</v>
      </c>
      <c r="J52" s="5" t="s">
        <v>196</v>
      </c>
    </row>
    <row r="53" customFormat="false" ht="15" hidden="false" customHeight="false" outlineLevel="0" collapsed="false">
      <c r="A53" s="3" t="n">
        <v>52</v>
      </c>
      <c r="B53" s="4" t="s">
        <v>10</v>
      </c>
      <c r="C53" s="3" t="s">
        <v>184</v>
      </c>
      <c r="D53" s="5" t="s">
        <v>185</v>
      </c>
      <c r="E53" s="5" t="s">
        <v>186</v>
      </c>
      <c r="F53" s="9" t="s">
        <v>197</v>
      </c>
      <c r="G53" s="14" t="s">
        <v>188</v>
      </c>
      <c r="H53" s="15" t="s">
        <v>198</v>
      </c>
      <c r="I53" s="3" t="s">
        <v>169</v>
      </c>
      <c r="J53" s="5" t="s">
        <v>199</v>
      </c>
    </row>
    <row r="54" customFormat="false" ht="15" hidden="false" customHeight="false" outlineLevel="0" collapsed="false">
      <c r="A54" s="3" t="n">
        <v>53</v>
      </c>
      <c r="B54" s="4" t="s">
        <v>10</v>
      </c>
      <c r="C54" s="3" t="s">
        <v>184</v>
      </c>
      <c r="D54" s="5" t="s">
        <v>185</v>
      </c>
      <c r="E54" s="5" t="s">
        <v>186</v>
      </c>
      <c r="F54" s="9" t="s">
        <v>200</v>
      </c>
      <c r="G54" s="14" t="s">
        <v>188</v>
      </c>
      <c r="H54" s="15" t="s">
        <v>201</v>
      </c>
      <c r="I54" s="3" t="s">
        <v>169</v>
      </c>
      <c r="J54" s="5" t="s">
        <v>202</v>
      </c>
    </row>
    <row r="55" customFormat="false" ht="15" hidden="false" customHeight="false" outlineLevel="0" collapsed="false">
      <c r="A55" s="3" t="n">
        <v>54</v>
      </c>
      <c r="B55" s="4" t="s">
        <v>10</v>
      </c>
      <c r="C55" s="3" t="s">
        <v>184</v>
      </c>
      <c r="D55" s="5" t="s">
        <v>185</v>
      </c>
      <c r="E55" s="5" t="s">
        <v>186</v>
      </c>
      <c r="F55" s="9" t="s">
        <v>203</v>
      </c>
      <c r="G55" s="7" t="s">
        <v>15</v>
      </c>
      <c r="H55" s="8" t="s">
        <v>204</v>
      </c>
      <c r="I55" s="3" t="s">
        <v>17</v>
      </c>
      <c r="J55" s="5" t="s">
        <v>205</v>
      </c>
    </row>
    <row r="56" customFormat="false" ht="15" hidden="false" customHeight="false" outlineLevel="0" collapsed="false">
      <c r="A56" s="3" t="n">
        <v>55</v>
      </c>
      <c r="B56" s="4" t="s">
        <v>10</v>
      </c>
      <c r="C56" s="3" t="s">
        <v>184</v>
      </c>
      <c r="D56" s="5" t="s">
        <v>185</v>
      </c>
      <c r="E56" s="5" t="s">
        <v>206</v>
      </c>
      <c r="F56" s="6" t="s">
        <v>207</v>
      </c>
      <c r="G56" s="14" t="s">
        <v>188</v>
      </c>
      <c r="H56" s="15" t="s">
        <v>208</v>
      </c>
      <c r="I56" s="3" t="s">
        <v>169</v>
      </c>
      <c r="J56" s="5" t="s">
        <v>209</v>
      </c>
    </row>
    <row r="57" customFormat="false" ht="15" hidden="false" customHeight="false" outlineLevel="0" collapsed="false">
      <c r="A57" s="3" t="n">
        <v>56</v>
      </c>
      <c r="B57" s="4" t="s">
        <v>10</v>
      </c>
      <c r="C57" s="3" t="s">
        <v>184</v>
      </c>
      <c r="D57" s="5" t="s">
        <v>185</v>
      </c>
      <c r="E57" s="5" t="s">
        <v>206</v>
      </c>
      <c r="F57" s="6" t="s">
        <v>210</v>
      </c>
      <c r="G57" s="14" t="s">
        <v>188</v>
      </c>
      <c r="H57" s="15" t="s">
        <v>211</v>
      </c>
      <c r="I57" s="3" t="s">
        <v>169</v>
      </c>
      <c r="J57" s="5" t="s">
        <v>212</v>
      </c>
    </row>
    <row r="58" customFormat="false" ht="15" hidden="false" customHeight="false" outlineLevel="0" collapsed="false">
      <c r="A58" s="3" t="n">
        <v>57</v>
      </c>
      <c r="B58" s="4" t="s">
        <v>10</v>
      </c>
      <c r="C58" s="3" t="s">
        <v>184</v>
      </c>
      <c r="D58" s="5" t="s">
        <v>185</v>
      </c>
      <c r="E58" s="5" t="s">
        <v>206</v>
      </c>
      <c r="F58" s="9" t="s">
        <v>213</v>
      </c>
      <c r="G58" s="14" t="s">
        <v>188</v>
      </c>
      <c r="H58" s="15" t="s">
        <v>214</v>
      </c>
      <c r="I58" s="3" t="s">
        <v>169</v>
      </c>
      <c r="J58" s="5" t="s">
        <v>215</v>
      </c>
    </row>
    <row r="59" customFormat="false" ht="15" hidden="false" customHeight="false" outlineLevel="0" collapsed="false">
      <c r="A59" s="3" t="n">
        <v>58</v>
      </c>
      <c r="B59" s="4" t="s">
        <v>10</v>
      </c>
      <c r="C59" s="3" t="s">
        <v>184</v>
      </c>
      <c r="D59" s="5" t="s">
        <v>185</v>
      </c>
      <c r="E59" s="5" t="s">
        <v>206</v>
      </c>
      <c r="F59" s="9" t="s">
        <v>216</v>
      </c>
      <c r="G59" s="14" t="s">
        <v>188</v>
      </c>
      <c r="H59" s="15" t="s">
        <v>217</v>
      </c>
      <c r="I59" s="3" t="s">
        <v>169</v>
      </c>
      <c r="J59" s="5" t="s">
        <v>218</v>
      </c>
    </row>
    <row r="60" customFormat="false" ht="15" hidden="false" customHeight="false" outlineLevel="0" collapsed="false">
      <c r="A60" s="3" t="n">
        <v>59</v>
      </c>
      <c r="B60" s="4" t="s">
        <v>10</v>
      </c>
      <c r="C60" s="3" t="s">
        <v>184</v>
      </c>
      <c r="D60" s="5" t="s">
        <v>185</v>
      </c>
      <c r="E60" s="5" t="s">
        <v>206</v>
      </c>
      <c r="F60" s="9" t="s">
        <v>219</v>
      </c>
      <c r="G60" s="14" t="s">
        <v>188</v>
      </c>
      <c r="H60" s="15" t="s">
        <v>220</v>
      </c>
      <c r="I60" s="3" t="s">
        <v>169</v>
      </c>
      <c r="J60" s="5" t="s">
        <v>221</v>
      </c>
    </row>
    <row r="61" customFormat="false" ht="15" hidden="false" customHeight="false" outlineLevel="0" collapsed="false">
      <c r="A61" s="3" t="n">
        <v>60</v>
      </c>
      <c r="B61" s="4" t="s">
        <v>10</v>
      </c>
      <c r="C61" s="3" t="s">
        <v>184</v>
      </c>
      <c r="D61" s="5" t="s">
        <v>185</v>
      </c>
      <c r="E61" s="5" t="s">
        <v>206</v>
      </c>
      <c r="F61" s="9" t="s">
        <v>222</v>
      </c>
      <c r="G61" s="14" t="s">
        <v>188</v>
      </c>
      <c r="H61" s="15" t="s">
        <v>223</v>
      </c>
      <c r="I61" s="3" t="s">
        <v>169</v>
      </c>
      <c r="J61" s="5" t="s">
        <v>224</v>
      </c>
    </row>
    <row r="62" customFormat="false" ht="15" hidden="false" customHeight="false" outlineLevel="0" collapsed="false">
      <c r="A62" s="3" t="n">
        <v>61</v>
      </c>
      <c r="B62" s="4" t="s">
        <v>10</v>
      </c>
      <c r="C62" s="3" t="s">
        <v>184</v>
      </c>
      <c r="D62" s="5" t="s">
        <v>185</v>
      </c>
      <c r="E62" s="5" t="s">
        <v>225</v>
      </c>
      <c r="F62" s="6" t="s">
        <v>226</v>
      </c>
      <c r="G62" s="14" t="s">
        <v>188</v>
      </c>
      <c r="H62" s="15" t="s">
        <v>227</v>
      </c>
      <c r="I62" s="3" t="s">
        <v>169</v>
      </c>
      <c r="J62" s="5" t="s">
        <v>228</v>
      </c>
    </row>
    <row r="63" customFormat="false" ht="15" hidden="false" customHeight="false" outlineLevel="0" collapsed="false">
      <c r="A63" s="3" t="n">
        <v>62</v>
      </c>
      <c r="B63" s="4" t="s">
        <v>10</v>
      </c>
      <c r="C63" s="3" t="s">
        <v>184</v>
      </c>
      <c r="D63" s="5" t="s">
        <v>185</v>
      </c>
      <c r="E63" s="5" t="s">
        <v>225</v>
      </c>
      <c r="F63" s="6" t="s">
        <v>229</v>
      </c>
      <c r="G63" s="14" t="s">
        <v>188</v>
      </c>
      <c r="H63" s="15" t="s">
        <v>230</v>
      </c>
      <c r="I63" s="3" t="s">
        <v>169</v>
      </c>
      <c r="J63" s="5" t="s">
        <v>231</v>
      </c>
    </row>
    <row r="64" customFormat="false" ht="15" hidden="false" customHeight="false" outlineLevel="0" collapsed="false">
      <c r="A64" s="3" t="n">
        <v>63</v>
      </c>
      <c r="B64" s="4" t="s">
        <v>10</v>
      </c>
      <c r="C64" s="3" t="s">
        <v>184</v>
      </c>
      <c r="D64" s="5" t="s">
        <v>185</v>
      </c>
      <c r="E64" s="5" t="s">
        <v>225</v>
      </c>
      <c r="F64" s="6" t="s">
        <v>232</v>
      </c>
      <c r="G64" s="14" t="s">
        <v>188</v>
      </c>
      <c r="H64" s="15" t="s">
        <v>233</v>
      </c>
      <c r="I64" s="3" t="s">
        <v>169</v>
      </c>
      <c r="J64" s="5" t="s">
        <v>234</v>
      </c>
    </row>
    <row r="65" customFormat="false" ht="15" hidden="false" customHeight="false" outlineLevel="0" collapsed="false">
      <c r="A65" s="3" t="n">
        <v>64</v>
      </c>
      <c r="B65" s="4" t="s">
        <v>10</v>
      </c>
      <c r="C65" s="3" t="s">
        <v>184</v>
      </c>
      <c r="D65" s="5" t="s">
        <v>185</v>
      </c>
      <c r="E65" s="5" t="s">
        <v>225</v>
      </c>
      <c r="F65" s="6" t="s">
        <v>235</v>
      </c>
      <c r="G65" s="14" t="s">
        <v>188</v>
      </c>
      <c r="H65" s="15" t="s">
        <v>236</v>
      </c>
      <c r="I65" s="3" t="s">
        <v>169</v>
      </c>
      <c r="J65" s="5" t="s">
        <v>237</v>
      </c>
    </row>
    <row r="66" customFormat="false" ht="15" hidden="false" customHeight="false" outlineLevel="0" collapsed="false">
      <c r="A66" s="3" t="n">
        <v>65</v>
      </c>
      <c r="B66" s="4" t="s">
        <v>10</v>
      </c>
      <c r="C66" s="3" t="s">
        <v>184</v>
      </c>
      <c r="D66" s="5" t="s">
        <v>185</v>
      </c>
      <c r="E66" s="5" t="s">
        <v>225</v>
      </c>
      <c r="F66" s="6" t="s">
        <v>238</v>
      </c>
      <c r="G66" s="14" t="s">
        <v>188</v>
      </c>
      <c r="H66" s="15" t="s">
        <v>239</v>
      </c>
      <c r="I66" s="3" t="s">
        <v>169</v>
      </c>
      <c r="J66" s="5" t="s">
        <v>240</v>
      </c>
    </row>
    <row r="67" customFormat="false" ht="15" hidden="false" customHeight="false" outlineLevel="0" collapsed="false">
      <c r="A67" s="3" t="n">
        <v>66</v>
      </c>
      <c r="B67" s="4" t="s">
        <v>10</v>
      </c>
      <c r="C67" s="3" t="s">
        <v>184</v>
      </c>
      <c r="D67" s="5" t="s">
        <v>185</v>
      </c>
      <c r="E67" s="5" t="s">
        <v>225</v>
      </c>
      <c r="F67" s="6" t="s">
        <v>241</v>
      </c>
      <c r="G67" s="14" t="s">
        <v>188</v>
      </c>
      <c r="H67" s="15" t="s">
        <v>242</v>
      </c>
      <c r="I67" s="3" t="s">
        <v>169</v>
      </c>
      <c r="J67" s="5" t="s">
        <v>243</v>
      </c>
    </row>
    <row r="68" customFormat="false" ht="15" hidden="false" customHeight="false" outlineLevel="0" collapsed="false">
      <c r="A68" s="3" t="n">
        <v>67</v>
      </c>
      <c r="B68" s="4" t="s">
        <v>10</v>
      </c>
      <c r="C68" s="3" t="s">
        <v>184</v>
      </c>
      <c r="D68" s="5" t="s">
        <v>185</v>
      </c>
      <c r="E68" s="5" t="s">
        <v>244</v>
      </c>
      <c r="F68" s="6" t="s">
        <v>245</v>
      </c>
      <c r="G68" s="14" t="s">
        <v>188</v>
      </c>
      <c r="H68" s="15" t="s">
        <v>246</v>
      </c>
      <c r="I68" s="3" t="s">
        <v>169</v>
      </c>
      <c r="J68" s="5" t="s">
        <v>247</v>
      </c>
    </row>
    <row r="69" customFormat="false" ht="15" hidden="false" customHeight="false" outlineLevel="0" collapsed="false">
      <c r="A69" s="3" t="n">
        <v>68</v>
      </c>
      <c r="B69" s="4" t="s">
        <v>10</v>
      </c>
      <c r="C69" s="3" t="s">
        <v>184</v>
      </c>
      <c r="D69" s="5" t="s">
        <v>185</v>
      </c>
      <c r="E69" s="5" t="s">
        <v>244</v>
      </c>
      <c r="F69" s="9" t="s">
        <v>248</v>
      </c>
      <c r="G69" s="14" t="s">
        <v>188</v>
      </c>
      <c r="H69" s="15" t="s">
        <v>249</v>
      </c>
      <c r="I69" s="3" t="s">
        <v>169</v>
      </c>
      <c r="J69" s="5" t="s">
        <v>250</v>
      </c>
    </row>
    <row r="70" customFormat="false" ht="15" hidden="false" customHeight="false" outlineLevel="0" collapsed="false">
      <c r="A70" s="3" t="n">
        <v>69</v>
      </c>
      <c r="B70" s="4" t="s">
        <v>10</v>
      </c>
      <c r="C70" s="3" t="s">
        <v>184</v>
      </c>
      <c r="D70" s="5" t="s">
        <v>185</v>
      </c>
      <c r="E70" s="5" t="s">
        <v>244</v>
      </c>
      <c r="F70" s="6" t="s">
        <v>251</v>
      </c>
      <c r="G70" s="14" t="s">
        <v>188</v>
      </c>
      <c r="H70" s="15" t="s">
        <v>252</v>
      </c>
      <c r="I70" s="3" t="s">
        <v>169</v>
      </c>
      <c r="J70" s="5" t="s">
        <v>253</v>
      </c>
    </row>
    <row r="71" customFormat="false" ht="15" hidden="false" customHeight="false" outlineLevel="0" collapsed="false">
      <c r="A71" s="3" t="n">
        <v>70</v>
      </c>
      <c r="B71" s="4" t="s">
        <v>10</v>
      </c>
      <c r="C71" s="3" t="s">
        <v>184</v>
      </c>
      <c r="D71" s="5" t="s">
        <v>185</v>
      </c>
      <c r="E71" s="5" t="s">
        <v>244</v>
      </c>
      <c r="F71" s="6" t="s">
        <v>254</v>
      </c>
      <c r="G71" s="14" t="s">
        <v>188</v>
      </c>
      <c r="H71" s="15" t="s">
        <v>255</v>
      </c>
      <c r="I71" s="3" t="s">
        <v>169</v>
      </c>
      <c r="J71" s="5" t="s">
        <v>256</v>
      </c>
    </row>
    <row r="72" customFormat="false" ht="15" hidden="false" customHeight="false" outlineLevel="0" collapsed="false">
      <c r="A72" s="3" t="n">
        <v>71</v>
      </c>
      <c r="B72" s="4" t="s">
        <v>10</v>
      </c>
      <c r="C72" s="3" t="s">
        <v>184</v>
      </c>
      <c r="D72" s="5" t="s">
        <v>185</v>
      </c>
      <c r="E72" s="5" t="s">
        <v>244</v>
      </c>
      <c r="F72" s="9" t="s">
        <v>257</v>
      </c>
      <c r="G72" s="14" t="s">
        <v>188</v>
      </c>
      <c r="H72" s="15" t="s">
        <v>258</v>
      </c>
      <c r="I72" s="3" t="s">
        <v>169</v>
      </c>
      <c r="J72" s="5" t="s">
        <v>259</v>
      </c>
    </row>
    <row r="73" customFormat="false" ht="15" hidden="false" customHeight="false" outlineLevel="0" collapsed="false">
      <c r="A73" s="3" t="n">
        <v>72</v>
      </c>
      <c r="B73" s="4" t="s">
        <v>10</v>
      </c>
      <c r="C73" s="3" t="s">
        <v>184</v>
      </c>
      <c r="D73" s="5" t="s">
        <v>185</v>
      </c>
      <c r="E73" s="5" t="s">
        <v>244</v>
      </c>
      <c r="F73" s="9" t="s">
        <v>260</v>
      </c>
      <c r="G73" s="11" t="s">
        <v>111</v>
      </c>
      <c r="H73" s="8" t="s">
        <v>261</v>
      </c>
      <c r="I73" s="3" t="s">
        <v>88</v>
      </c>
      <c r="J73" s="10" t="s">
        <v>262</v>
      </c>
    </row>
    <row r="74" customFormat="false" ht="15" hidden="false" customHeight="false" outlineLevel="0" collapsed="false">
      <c r="A74" s="3" t="n">
        <v>73</v>
      </c>
      <c r="B74" s="4" t="s">
        <v>10</v>
      </c>
      <c r="C74" s="3" t="s">
        <v>184</v>
      </c>
      <c r="D74" s="5" t="s">
        <v>185</v>
      </c>
      <c r="E74" s="5" t="s">
        <v>263</v>
      </c>
      <c r="F74" s="9" t="s">
        <v>264</v>
      </c>
      <c r="G74" s="14" t="s">
        <v>188</v>
      </c>
      <c r="H74" s="15" t="s">
        <v>265</v>
      </c>
      <c r="I74" s="3" t="s">
        <v>169</v>
      </c>
      <c r="J74" s="5" t="s">
        <v>266</v>
      </c>
    </row>
    <row r="75" customFormat="false" ht="15" hidden="false" customHeight="false" outlineLevel="0" collapsed="false">
      <c r="A75" s="3" t="n">
        <v>74</v>
      </c>
      <c r="B75" s="4" t="s">
        <v>10</v>
      </c>
      <c r="C75" s="3" t="s">
        <v>184</v>
      </c>
      <c r="D75" s="5" t="s">
        <v>185</v>
      </c>
      <c r="E75" s="5" t="s">
        <v>263</v>
      </c>
      <c r="F75" s="9" t="s">
        <v>267</v>
      </c>
      <c r="G75" s="7" t="s">
        <v>15</v>
      </c>
      <c r="H75" s="8" t="s">
        <v>268</v>
      </c>
      <c r="I75" s="3" t="s">
        <v>17</v>
      </c>
      <c r="J75" s="5" t="s">
        <v>269</v>
      </c>
    </row>
    <row r="76" customFormat="false" ht="15" hidden="false" customHeight="false" outlineLevel="0" collapsed="false">
      <c r="A76" s="3" t="n">
        <v>75</v>
      </c>
      <c r="B76" s="4" t="s">
        <v>10</v>
      </c>
      <c r="C76" s="3" t="s">
        <v>184</v>
      </c>
      <c r="D76" s="5" t="s">
        <v>185</v>
      </c>
      <c r="E76" s="5" t="s">
        <v>263</v>
      </c>
      <c r="F76" s="9" t="s">
        <v>270</v>
      </c>
      <c r="G76" s="14" t="s">
        <v>188</v>
      </c>
      <c r="H76" s="15" t="s">
        <v>271</v>
      </c>
      <c r="I76" s="3" t="s">
        <v>169</v>
      </c>
      <c r="J76" s="5" t="s">
        <v>272</v>
      </c>
    </row>
    <row r="77" customFormat="false" ht="15" hidden="false" customHeight="false" outlineLevel="0" collapsed="false">
      <c r="A77" s="3" t="n">
        <v>76</v>
      </c>
      <c r="B77" s="4" t="s">
        <v>10</v>
      </c>
      <c r="C77" s="3" t="s">
        <v>184</v>
      </c>
      <c r="D77" s="5" t="s">
        <v>185</v>
      </c>
      <c r="E77" s="5" t="s">
        <v>263</v>
      </c>
      <c r="F77" s="9" t="s">
        <v>273</v>
      </c>
      <c r="G77" s="7" t="s">
        <v>15</v>
      </c>
      <c r="H77" s="8" t="s">
        <v>274</v>
      </c>
      <c r="I77" s="3" t="s">
        <v>108</v>
      </c>
      <c r="J77" s="5" t="s">
        <v>275</v>
      </c>
    </row>
    <row r="78" customFormat="false" ht="15" hidden="false" customHeight="false" outlineLevel="0" collapsed="false">
      <c r="A78" s="3" t="n">
        <v>77</v>
      </c>
      <c r="B78" s="4" t="s">
        <v>10</v>
      </c>
      <c r="C78" s="3" t="s">
        <v>184</v>
      </c>
      <c r="D78" s="5" t="s">
        <v>185</v>
      </c>
      <c r="E78" s="5" t="s">
        <v>263</v>
      </c>
      <c r="F78" s="9" t="s">
        <v>276</v>
      </c>
      <c r="G78" s="7" t="s">
        <v>15</v>
      </c>
      <c r="H78" s="8" t="s">
        <v>277</v>
      </c>
      <c r="I78" s="3" t="s">
        <v>142</v>
      </c>
      <c r="J78" s="5" t="s">
        <v>278</v>
      </c>
    </row>
    <row r="79" customFormat="false" ht="15" hidden="false" customHeight="false" outlineLevel="0" collapsed="false">
      <c r="A79" s="3" t="n">
        <v>78</v>
      </c>
      <c r="B79" s="4" t="s">
        <v>10</v>
      </c>
      <c r="C79" s="3" t="s">
        <v>184</v>
      </c>
      <c r="D79" s="5" t="s">
        <v>185</v>
      </c>
      <c r="E79" s="5" t="s">
        <v>263</v>
      </c>
      <c r="F79" s="6" t="s">
        <v>279</v>
      </c>
      <c r="G79" s="14" t="s">
        <v>188</v>
      </c>
      <c r="H79" s="15" t="s">
        <v>280</v>
      </c>
      <c r="I79" s="3" t="s">
        <v>169</v>
      </c>
      <c r="J79" s="5" t="s">
        <v>281</v>
      </c>
    </row>
    <row r="80" customFormat="false" ht="15" hidden="false" customHeight="false" outlineLevel="0" collapsed="false">
      <c r="A80" s="3" t="n">
        <v>79</v>
      </c>
      <c r="B80" s="4" t="s">
        <v>10</v>
      </c>
      <c r="C80" s="3" t="s">
        <v>184</v>
      </c>
      <c r="D80" s="5" t="s">
        <v>185</v>
      </c>
      <c r="E80" s="5" t="s">
        <v>282</v>
      </c>
      <c r="F80" s="9" t="s">
        <v>283</v>
      </c>
      <c r="G80" s="7" t="s">
        <v>15</v>
      </c>
      <c r="H80" s="8" t="s">
        <v>284</v>
      </c>
      <c r="I80" s="3" t="s">
        <v>125</v>
      </c>
      <c r="J80" s="5" t="s">
        <v>285</v>
      </c>
    </row>
    <row r="81" customFormat="false" ht="15" hidden="false" customHeight="false" outlineLevel="0" collapsed="false">
      <c r="A81" s="3" t="n">
        <v>80</v>
      </c>
      <c r="B81" s="4" t="s">
        <v>10</v>
      </c>
      <c r="C81" s="3" t="s">
        <v>184</v>
      </c>
      <c r="D81" s="5" t="s">
        <v>185</v>
      </c>
      <c r="E81" s="5" t="s">
        <v>282</v>
      </c>
      <c r="F81" s="9" t="s">
        <v>286</v>
      </c>
      <c r="G81" s="7" t="s">
        <v>15</v>
      </c>
      <c r="H81" s="8" t="s">
        <v>287</v>
      </c>
      <c r="I81" s="3" t="s">
        <v>29</v>
      </c>
      <c r="J81" s="10" t="s">
        <v>288</v>
      </c>
    </row>
    <row r="82" customFormat="false" ht="15" hidden="false" customHeight="false" outlineLevel="0" collapsed="false">
      <c r="A82" s="3" t="n">
        <v>81</v>
      </c>
      <c r="B82" s="4" t="s">
        <v>10</v>
      </c>
      <c r="C82" s="3" t="s">
        <v>184</v>
      </c>
      <c r="D82" s="5" t="s">
        <v>185</v>
      </c>
      <c r="E82" s="5" t="s">
        <v>282</v>
      </c>
      <c r="F82" s="9" t="s">
        <v>289</v>
      </c>
      <c r="G82" s="7" t="s">
        <v>15</v>
      </c>
      <c r="H82" s="8" t="s">
        <v>290</v>
      </c>
      <c r="I82" s="3" t="s">
        <v>57</v>
      </c>
      <c r="J82" s="10" t="s">
        <v>291</v>
      </c>
    </row>
    <row r="83" customFormat="false" ht="15" hidden="false" customHeight="false" outlineLevel="0" collapsed="false">
      <c r="A83" s="3" t="n">
        <v>82</v>
      </c>
      <c r="B83" s="4" t="s">
        <v>10</v>
      </c>
      <c r="C83" s="3" t="s">
        <v>184</v>
      </c>
      <c r="D83" s="5" t="s">
        <v>185</v>
      </c>
      <c r="E83" s="5" t="s">
        <v>282</v>
      </c>
      <c r="F83" s="9" t="s">
        <v>292</v>
      </c>
      <c r="G83" s="7" t="s">
        <v>15</v>
      </c>
      <c r="H83" s="8" t="s">
        <v>293</v>
      </c>
      <c r="I83" s="3" t="s">
        <v>65</v>
      </c>
      <c r="J83" s="5" t="s">
        <v>294</v>
      </c>
    </row>
    <row r="84" customFormat="false" ht="15" hidden="false" customHeight="false" outlineLevel="0" collapsed="false">
      <c r="A84" s="3" t="n">
        <v>83</v>
      </c>
      <c r="B84" s="4" t="s">
        <v>10</v>
      </c>
      <c r="C84" s="3" t="s">
        <v>184</v>
      </c>
      <c r="D84" s="5" t="s">
        <v>185</v>
      </c>
      <c r="E84" s="5" t="s">
        <v>282</v>
      </c>
      <c r="F84" s="9" t="s">
        <v>295</v>
      </c>
      <c r="G84" s="7" t="s">
        <v>15</v>
      </c>
      <c r="H84" s="8" t="s">
        <v>296</v>
      </c>
      <c r="I84" s="3" t="s">
        <v>57</v>
      </c>
      <c r="J84" s="10" t="s">
        <v>297</v>
      </c>
    </row>
    <row r="85" customFormat="false" ht="15" hidden="false" customHeight="false" outlineLevel="0" collapsed="false">
      <c r="A85" s="3" t="n">
        <v>84</v>
      </c>
      <c r="B85" s="4" t="s">
        <v>10</v>
      </c>
      <c r="C85" s="3" t="s">
        <v>184</v>
      </c>
      <c r="D85" s="5" t="s">
        <v>185</v>
      </c>
      <c r="E85" s="5" t="s">
        <v>282</v>
      </c>
      <c r="F85" s="9" t="s">
        <v>298</v>
      </c>
      <c r="G85" s="11" t="s">
        <v>111</v>
      </c>
      <c r="H85" s="8" t="s">
        <v>299</v>
      </c>
      <c r="I85" s="3" t="s">
        <v>53</v>
      </c>
      <c r="J85" s="5" t="s">
        <v>300</v>
      </c>
    </row>
    <row r="86" customFormat="false" ht="15" hidden="false" customHeight="false" outlineLevel="0" collapsed="false">
      <c r="A86" s="3" t="n">
        <v>85</v>
      </c>
      <c r="B86" s="4" t="s">
        <v>10</v>
      </c>
      <c r="C86" s="3" t="s">
        <v>184</v>
      </c>
      <c r="D86" s="5" t="s">
        <v>185</v>
      </c>
      <c r="E86" s="5" t="s">
        <v>301</v>
      </c>
      <c r="F86" s="9" t="s">
        <v>302</v>
      </c>
      <c r="G86" s="16" t="s">
        <v>303</v>
      </c>
      <c r="H86" s="13" t="s">
        <v>304</v>
      </c>
      <c r="I86" s="3" t="s">
        <v>305</v>
      </c>
      <c r="J86" s="5" t="s">
        <v>306</v>
      </c>
    </row>
    <row r="87" customFormat="false" ht="15" hidden="false" customHeight="false" outlineLevel="0" collapsed="false">
      <c r="A87" s="3" t="n">
        <v>86</v>
      </c>
      <c r="B87" s="4" t="s">
        <v>10</v>
      </c>
      <c r="C87" s="3" t="s">
        <v>184</v>
      </c>
      <c r="D87" s="5" t="s">
        <v>185</v>
      </c>
      <c r="E87" s="5" t="s">
        <v>301</v>
      </c>
      <c r="F87" s="9" t="s">
        <v>307</v>
      </c>
      <c r="G87" s="16" t="s">
        <v>303</v>
      </c>
      <c r="H87" s="13" t="s">
        <v>308</v>
      </c>
      <c r="I87" s="3" t="s">
        <v>309</v>
      </c>
      <c r="J87" s="5" t="s">
        <v>310</v>
      </c>
    </row>
    <row r="88" customFormat="false" ht="15" hidden="false" customHeight="false" outlineLevel="0" collapsed="false">
      <c r="A88" s="3" t="n">
        <v>87</v>
      </c>
      <c r="B88" s="4" t="s">
        <v>10</v>
      </c>
      <c r="C88" s="3" t="s">
        <v>184</v>
      </c>
      <c r="D88" s="5" t="s">
        <v>185</v>
      </c>
      <c r="E88" s="5" t="s">
        <v>301</v>
      </c>
      <c r="F88" s="9" t="s">
        <v>311</v>
      </c>
      <c r="G88" s="16" t="s">
        <v>303</v>
      </c>
      <c r="H88" s="13" t="s">
        <v>312</v>
      </c>
      <c r="I88" s="3" t="s">
        <v>45</v>
      </c>
      <c r="J88" s="10" t="s">
        <v>313</v>
      </c>
    </row>
    <row r="89" customFormat="false" ht="15" hidden="false" customHeight="false" outlineLevel="0" collapsed="false">
      <c r="A89" s="3" t="n">
        <v>88</v>
      </c>
      <c r="B89" s="4" t="s">
        <v>10</v>
      </c>
      <c r="C89" s="3" t="s">
        <v>184</v>
      </c>
      <c r="D89" s="5" t="s">
        <v>185</v>
      </c>
      <c r="E89" s="5" t="s">
        <v>301</v>
      </c>
      <c r="F89" s="9" t="s">
        <v>314</v>
      </c>
      <c r="G89" s="11" t="s">
        <v>111</v>
      </c>
      <c r="H89" s="8" t="s">
        <v>315</v>
      </c>
      <c r="I89" s="3" t="s">
        <v>57</v>
      </c>
      <c r="J89" s="5" t="s">
        <v>316</v>
      </c>
    </row>
    <row r="90" customFormat="false" ht="15" hidden="false" customHeight="false" outlineLevel="0" collapsed="false">
      <c r="A90" s="3" t="n">
        <v>89</v>
      </c>
      <c r="B90" s="4" t="s">
        <v>10</v>
      </c>
      <c r="C90" s="3" t="s">
        <v>184</v>
      </c>
      <c r="D90" s="5" t="s">
        <v>185</v>
      </c>
      <c r="E90" s="5" t="s">
        <v>301</v>
      </c>
      <c r="F90" s="9" t="s">
        <v>317</v>
      </c>
      <c r="G90" s="16" t="s">
        <v>303</v>
      </c>
      <c r="H90" s="13" t="s">
        <v>318</v>
      </c>
      <c r="I90" s="3" t="s">
        <v>305</v>
      </c>
      <c r="J90" s="5" t="s">
        <v>319</v>
      </c>
    </row>
    <row r="91" customFormat="false" ht="15" hidden="false" customHeight="false" outlineLevel="0" collapsed="false">
      <c r="A91" s="3" t="n">
        <v>90</v>
      </c>
      <c r="B91" s="4" t="s">
        <v>10</v>
      </c>
      <c r="C91" s="3" t="s">
        <v>184</v>
      </c>
      <c r="D91" s="5" t="s">
        <v>185</v>
      </c>
      <c r="E91" s="5" t="s">
        <v>301</v>
      </c>
      <c r="F91" s="9" t="s">
        <v>320</v>
      </c>
      <c r="G91" s="12" t="s">
        <v>168</v>
      </c>
      <c r="H91" s="13" t="s">
        <v>169</v>
      </c>
      <c r="I91" s="3" t="s">
        <v>169</v>
      </c>
      <c r="J91" s="5" t="s">
        <v>321</v>
      </c>
    </row>
    <row r="92" customFormat="false" ht="15" hidden="false" customHeight="false" outlineLevel="0" collapsed="false">
      <c r="A92" s="3" t="n">
        <v>91</v>
      </c>
      <c r="B92" s="4" t="s">
        <v>10</v>
      </c>
      <c r="C92" s="3" t="s">
        <v>184</v>
      </c>
      <c r="D92" s="5" t="s">
        <v>185</v>
      </c>
      <c r="E92" s="5" t="s">
        <v>322</v>
      </c>
      <c r="F92" s="9" t="s">
        <v>323</v>
      </c>
      <c r="G92" s="7" t="s">
        <v>15</v>
      </c>
      <c r="H92" s="8" t="s">
        <v>324</v>
      </c>
      <c r="I92" s="3" t="s">
        <v>57</v>
      </c>
      <c r="J92" s="10" t="s">
        <v>325</v>
      </c>
    </row>
    <row r="93" customFormat="false" ht="15" hidden="false" customHeight="false" outlineLevel="0" collapsed="false">
      <c r="A93" s="3" t="n">
        <v>92</v>
      </c>
      <c r="B93" s="4" t="s">
        <v>10</v>
      </c>
      <c r="C93" s="3" t="s">
        <v>184</v>
      </c>
      <c r="D93" s="5" t="s">
        <v>185</v>
      </c>
      <c r="E93" s="5" t="s">
        <v>322</v>
      </c>
      <c r="F93" s="9" t="s">
        <v>326</v>
      </c>
      <c r="G93" s="7" t="s">
        <v>15</v>
      </c>
      <c r="H93" s="8" t="s">
        <v>327</v>
      </c>
      <c r="I93" s="3" t="s">
        <v>57</v>
      </c>
      <c r="J93" s="10" t="s">
        <v>328</v>
      </c>
    </row>
    <row r="94" customFormat="false" ht="15" hidden="false" customHeight="false" outlineLevel="0" collapsed="false">
      <c r="A94" s="3" t="n">
        <v>93</v>
      </c>
      <c r="B94" s="4" t="s">
        <v>10</v>
      </c>
      <c r="C94" s="3" t="s">
        <v>184</v>
      </c>
      <c r="D94" s="5" t="s">
        <v>185</v>
      </c>
      <c r="E94" s="5" t="s">
        <v>322</v>
      </c>
      <c r="F94" s="9" t="s">
        <v>329</v>
      </c>
      <c r="G94" s="11" t="s">
        <v>111</v>
      </c>
      <c r="H94" s="8" t="s">
        <v>330</v>
      </c>
      <c r="I94" s="3" t="s">
        <v>331</v>
      </c>
      <c r="J94" s="5" t="s">
        <v>332</v>
      </c>
    </row>
    <row r="95" customFormat="false" ht="15" hidden="false" customHeight="false" outlineLevel="0" collapsed="false">
      <c r="A95" s="3" t="n">
        <v>94</v>
      </c>
      <c r="B95" s="4" t="s">
        <v>10</v>
      </c>
      <c r="C95" s="3" t="s">
        <v>184</v>
      </c>
      <c r="D95" s="5" t="s">
        <v>185</v>
      </c>
      <c r="E95" s="5" t="s">
        <v>322</v>
      </c>
      <c r="F95" s="6" t="s">
        <v>333</v>
      </c>
      <c r="G95" s="12" t="s">
        <v>168</v>
      </c>
      <c r="H95" s="13" t="s">
        <v>169</v>
      </c>
      <c r="I95" s="3" t="s">
        <v>169</v>
      </c>
      <c r="J95" s="5" t="s">
        <v>334</v>
      </c>
    </row>
    <row r="96" customFormat="false" ht="15" hidden="false" customHeight="false" outlineLevel="0" collapsed="false">
      <c r="A96" s="3" t="n">
        <v>95</v>
      </c>
      <c r="B96" s="4" t="s">
        <v>10</v>
      </c>
      <c r="C96" s="3" t="s">
        <v>184</v>
      </c>
      <c r="D96" s="5" t="s">
        <v>185</v>
      </c>
      <c r="E96" s="5" t="s">
        <v>322</v>
      </c>
      <c r="F96" s="9" t="s">
        <v>335</v>
      </c>
      <c r="G96" s="12" t="s">
        <v>168</v>
      </c>
      <c r="H96" s="13" t="s">
        <v>169</v>
      </c>
      <c r="I96" s="3" t="s">
        <v>169</v>
      </c>
      <c r="J96" s="5" t="s">
        <v>336</v>
      </c>
    </row>
    <row r="97" customFormat="false" ht="15" hidden="false" customHeight="false" outlineLevel="0" collapsed="false">
      <c r="A97" s="3" t="n">
        <v>96</v>
      </c>
      <c r="B97" s="4" t="s">
        <v>10</v>
      </c>
      <c r="C97" s="3" t="s">
        <v>184</v>
      </c>
      <c r="D97" s="5" t="s">
        <v>185</v>
      </c>
      <c r="E97" s="5" t="s">
        <v>322</v>
      </c>
      <c r="F97" s="9" t="s">
        <v>337</v>
      </c>
      <c r="G97" s="12" t="s">
        <v>168</v>
      </c>
      <c r="H97" s="13" t="s">
        <v>169</v>
      </c>
      <c r="I97" s="3" t="s">
        <v>169</v>
      </c>
      <c r="J97" s="5" t="s">
        <v>338</v>
      </c>
    </row>
    <row r="98" customFormat="false" ht="15" hidden="false" customHeight="false" outlineLevel="0" collapsed="false">
      <c r="A98" s="3" t="n">
        <v>97</v>
      </c>
      <c r="B98" s="4" t="s">
        <v>10</v>
      </c>
      <c r="C98" s="3" t="s">
        <v>339</v>
      </c>
      <c r="D98" s="5" t="s">
        <v>340</v>
      </c>
      <c r="E98" s="5" t="s">
        <v>341</v>
      </c>
      <c r="F98" s="9" t="s">
        <v>342</v>
      </c>
      <c r="G98" s="7" t="s">
        <v>15</v>
      </c>
      <c r="H98" s="8" t="s">
        <v>343</v>
      </c>
      <c r="I98" s="3" t="s">
        <v>21</v>
      </c>
      <c r="J98" s="5" t="s">
        <v>344</v>
      </c>
    </row>
    <row r="99" customFormat="false" ht="15" hidden="false" customHeight="false" outlineLevel="0" collapsed="false">
      <c r="A99" s="3" t="n">
        <v>98</v>
      </c>
      <c r="B99" s="4" t="s">
        <v>10</v>
      </c>
      <c r="C99" s="3" t="s">
        <v>339</v>
      </c>
      <c r="D99" s="5" t="s">
        <v>340</v>
      </c>
      <c r="E99" s="5" t="s">
        <v>341</v>
      </c>
      <c r="F99" s="9" t="s">
        <v>345</v>
      </c>
      <c r="G99" s="7" t="s">
        <v>15</v>
      </c>
      <c r="H99" s="8" t="s">
        <v>346</v>
      </c>
      <c r="I99" s="3" t="s">
        <v>125</v>
      </c>
      <c r="J99" s="5" t="s">
        <v>347</v>
      </c>
    </row>
    <row r="100" customFormat="false" ht="15" hidden="false" customHeight="false" outlineLevel="0" collapsed="false">
      <c r="A100" s="3" t="n">
        <v>99</v>
      </c>
      <c r="B100" s="4" t="s">
        <v>10</v>
      </c>
      <c r="C100" s="3" t="s">
        <v>339</v>
      </c>
      <c r="D100" s="5" t="s">
        <v>340</v>
      </c>
      <c r="E100" s="5" t="s">
        <v>341</v>
      </c>
      <c r="F100" s="9" t="s">
        <v>348</v>
      </c>
      <c r="G100" s="7" t="s">
        <v>15</v>
      </c>
      <c r="H100" s="8" t="s">
        <v>349</v>
      </c>
      <c r="I100" s="3" t="s">
        <v>21</v>
      </c>
      <c r="J100" s="5" t="s">
        <v>350</v>
      </c>
    </row>
    <row r="101" customFormat="false" ht="15" hidden="false" customHeight="false" outlineLevel="0" collapsed="false">
      <c r="A101" s="3" t="n">
        <v>100</v>
      </c>
      <c r="B101" s="4" t="s">
        <v>10</v>
      </c>
      <c r="C101" s="3" t="s">
        <v>339</v>
      </c>
      <c r="D101" s="5" t="s">
        <v>340</v>
      </c>
      <c r="E101" s="5" t="s">
        <v>341</v>
      </c>
      <c r="F101" s="9" t="s">
        <v>351</v>
      </c>
      <c r="G101" s="7" t="s">
        <v>15</v>
      </c>
      <c r="H101" s="8" t="s">
        <v>352</v>
      </c>
      <c r="I101" s="3" t="s">
        <v>80</v>
      </c>
      <c r="J101" s="5" t="s">
        <v>353</v>
      </c>
    </row>
    <row r="102" customFormat="false" ht="15" hidden="false" customHeight="false" outlineLevel="0" collapsed="false">
      <c r="A102" s="3" t="n">
        <v>101</v>
      </c>
      <c r="B102" s="4" t="s">
        <v>10</v>
      </c>
      <c r="C102" s="3" t="s">
        <v>339</v>
      </c>
      <c r="D102" s="5" t="s">
        <v>340</v>
      </c>
      <c r="E102" s="5" t="s">
        <v>341</v>
      </c>
      <c r="F102" s="9" t="s">
        <v>354</v>
      </c>
      <c r="G102" s="7" t="s">
        <v>15</v>
      </c>
      <c r="H102" s="8" t="s">
        <v>355</v>
      </c>
      <c r="I102" s="3" t="s">
        <v>29</v>
      </c>
      <c r="J102" s="10" t="s">
        <v>356</v>
      </c>
    </row>
    <row r="103" customFormat="false" ht="15" hidden="false" customHeight="false" outlineLevel="0" collapsed="false">
      <c r="A103" s="3" t="n">
        <v>102</v>
      </c>
      <c r="B103" s="4" t="s">
        <v>10</v>
      </c>
      <c r="C103" s="3" t="s">
        <v>339</v>
      </c>
      <c r="D103" s="5" t="s">
        <v>340</v>
      </c>
      <c r="E103" s="5" t="s">
        <v>341</v>
      </c>
      <c r="F103" s="9" t="s">
        <v>357</v>
      </c>
      <c r="G103" s="7" t="s">
        <v>15</v>
      </c>
      <c r="H103" s="8" t="s">
        <v>358</v>
      </c>
      <c r="I103" s="3" t="s">
        <v>29</v>
      </c>
      <c r="J103" s="10" t="s">
        <v>359</v>
      </c>
    </row>
    <row r="104" customFormat="false" ht="15" hidden="false" customHeight="false" outlineLevel="0" collapsed="false">
      <c r="A104" s="3" t="n">
        <v>103</v>
      </c>
      <c r="B104" s="4" t="s">
        <v>10</v>
      </c>
      <c r="C104" s="3" t="s">
        <v>339</v>
      </c>
      <c r="D104" s="5" t="s">
        <v>340</v>
      </c>
      <c r="E104" s="5" t="s">
        <v>360</v>
      </c>
      <c r="F104" s="9" t="s">
        <v>361</v>
      </c>
      <c r="G104" s="7" t="s">
        <v>15</v>
      </c>
      <c r="H104" s="8" t="s">
        <v>362</v>
      </c>
      <c r="I104" s="3" t="s">
        <v>363</v>
      </c>
      <c r="J104" s="5" t="s">
        <v>364</v>
      </c>
    </row>
    <row r="105" customFormat="false" ht="15" hidden="false" customHeight="false" outlineLevel="0" collapsed="false">
      <c r="A105" s="3" t="n">
        <v>104</v>
      </c>
      <c r="B105" s="4" t="s">
        <v>10</v>
      </c>
      <c r="C105" s="3" t="s">
        <v>339</v>
      </c>
      <c r="D105" s="5" t="s">
        <v>340</v>
      </c>
      <c r="E105" s="5" t="s">
        <v>360</v>
      </c>
      <c r="F105" s="9" t="s">
        <v>365</v>
      </c>
      <c r="G105" s="7" t="s">
        <v>15</v>
      </c>
      <c r="H105" s="8" t="s">
        <v>366</v>
      </c>
      <c r="I105" s="3" t="s">
        <v>363</v>
      </c>
      <c r="J105" s="5" t="s">
        <v>367</v>
      </c>
    </row>
    <row r="106" customFormat="false" ht="15" hidden="false" customHeight="false" outlineLevel="0" collapsed="false">
      <c r="A106" s="3" t="n">
        <v>105</v>
      </c>
      <c r="B106" s="4" t="s">
        <v>10</v>
      </c>
      <c r="C106" s="3" t="s">
        <v>339</v>
      </c>
      <c r="D106" s="5" t="s">
        <v>340</v>
      </c>
      <c r="E106" s="5" t="s">
        <v>360</v>
      </c>
      <c r="F106" s="9" t="s">
        <v>368</v>
      </c>
      <c r="G106" s="7" t="s">
        <v>15</v>
      </c>
      <c r="H106" s="8" t="s">
        <v>369</v>
      </c>
      <c r="I106" s="3" t="s">
        <v>80</v>
      </c>
      <c r="J106" s="10" t="s">
        <v>370</v>
      </c>
    </row>
    <row r="107" customFormat="false" ht="15" hidden="false" customHeight="false" outlineLevel="0" collapsed="false">
      <c r="A107" s="3" t="n">
        <v>106</v>
      </c>
      <c r="B107" s="4" t="s">
        <v>10</v>
      </c>
      <c r="C107" s="3" t="s">
        <v>339</v>
      </c>
      <c r="D107" s="5" t="s">
        <v>340</v>
      </c>
      <c r="E107" s="5" t="s">
        <v>360</v>
      </c>
      <c r="F107" s="9" t="s">
        <v>371</v>
      </c>
      <c r="G107" s="7" t="s">
        <v>15</v>
      </c>
      <c r="H107" s="8" t="s">
        <v>372</v>
      </c>
      <c r="I107" s="3" t="s">
        <v>29</v>
      </c>
      <c r="J107" s="10" t="s">
        <v>373</v>
      </c>
    </row>
    <row r="108" customFormat="false" ht="15" hidden="false" customHeight="false" outlineLevel="0" collapsed="false">
      <c r="A108" s="3" t="n">
        <v>107</v>
      </c>
      <c r="B108" s="4" t="s">
        <v>10</v>
      </c>
      <c r="C108" s="3" t="s">
        <v>339</v>
      </c>
      <c r="D108" s="5" t="s">
        <v>340</v>
      </c>
      <c r="E108" s="5" t="s">
        <v>360</v>
      </c>
      <c r="F108" s="9" t="s">
        <v>374</v>
      </c>
      <c r="G108" s="7" t="s">
        <v>15</v>
      </c>
      <c r="H108" s="8" t="s">
        <v>375</v>
      </c>
      <c r="I108" s="3" t="s">
        <v>72</v>
      </c>
      <c r="J108" s="5" t="s">
        <v>376</v>
      </c>
    </row>
    <row r="109" customFormat="false" ht="15" hidden="false" customHeight="false" outlineLevel="0" collapsed="false">
      <c r="A109" s="3" t="n">
        <v>108</v>
      </c>
      <c r="B109" s="4" t="s">
        <v>10</v>
      </c>
      <c r="C109" s="3" t="s">
        <v>339</v>
      </c>
      <c r="D109" s="5" t="s">
        <v>340</v>
      </c>
      <c r="E109" s="5" t="s">
        <v>360</v>
      </c>
      <c r="F109" s="9" t="s">
        <v>377</v>
      </c>
      <c r="G109" s="7" t="s">
        <v>15</v>
      </c>
      <c r="H109" s="8" t="s">
        <v>378</v>
      </c>
      <c r="I109" s="3" t="s">
        <v>57</v>
      </c>
      <c r="J109" s="10" t="s">
        <v>379</v>
      </c>
    </row>
    <row r="110" customFormat="false" ht="15" hidden="false" customHeight="false" outlineLevel="0" collapsed="false">
      <c r="A110" s="3" t="n">
        <v>109</v>
      </c>
      <c r="B110" s="4" t="s">
        <v>10</v>
      </c>
      <c r="C110" s="3" t="s">
        <v>339</v>
      </c>
      <c r="D110" s="5" t="s">
        <v>340</v>
      </c>
      <c r="E110" s="5" t="s">
        <v>380</v>
      </c>
      <c r="F110" s="6" t="s">
        <v>381</v>
      </c>
      <c r="G110" s="7" t="s">
        <v>15</v>
      </c>
      <c r="H110" s="8" t="s">
        <v>382</v>
      </c>
      <c r="I110" s="3" t="s">
        <v>383</v>
      </c>
      <c r="J110" s="5" t="s">
        <v>384</v>
      </c>
    </row>
    <row r="111" customFormat="false" ht="15" hidden="false" customHeight="false" outlineLevel="0" collapsed="false">
      <c r="A111" s="3" t="n">
        <v>110</v>
      </c>
      <c r="B111" s="4" t="s">
        <v>10</v>
      </c>
      <c r="C111" s="3" t="s">
        <v>339</v>
      </c>
      <c r="D111" s="5" t="s">
        <v>340</v>
      </c>
      <c r="E111" s="5" t="s">
        <v>380</v>
      </c>
      <c r="F111" s="9" t="s">
        <v>385</v>
      </c>
      <c r="G111" s="7" t="s">
        <v>15</v>
      </c>
      <c r="H111" s="8" t="s">
        <v>386</v>
      </c>
      <c r="I111" s="3" t="s">
        <v>45</v>
      </c>
      <c r="J111" s="10" t="s">
        <v>387</v>
      </c>
    </row>
    <row r="112" customFormat="false" ht="15" hidden="false" customHeight="false" outlineLevel="0" collapsed="false">
      <c r="A112" s="3" t="n">
        <v>111</v>
      </c>
      <c r="B112" s="4" t="s">
        <v>10</v>
      </c>
      <c r="C112" s="3" t="s">
        <v>339</v>
      </c>
      <c r="D112" s="5" t="s">
        <v>340</v>
      </c>
      <c r="E112" s="5" t="s">
        <v>380</v>
      </c>
      <c r="F112" s="9" t="s">
        <v>388</v>
      </c>
      <c r="G112" s="7" t="s">
        <v>15</v>
      </c>
      <c r="H112" s="8" t="s">
        <v>389</v>
      </c>
      <c r="I112" s="3" t="s">
        <v>25</v>
      </c>
      <c r="J112" s="10" t="s">
        <v>390</v>
      </c>
    </row>
    <row r="113" customFormat="false" ht="15" hidden="false" customHeight="false" outlineLevel="0" collapsed="false">
      <c r="A113" s="3" t="n">
        <v>112</v>
      </c>
      <c r="B113" s="4" t="s">
        <v>10</v>
      </c>
      <c r="C113" s="3" t="s">
        <v>339</v>
      </c>
      <c r="D113" s="5" t="s">
        <v>340</v>
      </c>
      <c r="E113" s="5" t="s">
        <v>380</v>
      </c>
      <c r="F113" s="9" t="s">
        <v>391</v>
      </c>
      <c r="G113" s="7" t="s">
        <v>15</v>
      </c>
      <c r="H113" s="8" t="s">
        <v>392</v>
      </c>
      <c r="I113" s="3" t="s">
        <v>53</v>
      </c>
      <c r="J113" s="5" t="s">
        <v>393</v>
      </c>
    </row>
    <row r="114" customFormat="false" ht="15" hidden="false" customHeight="false" outlineLevel="0" collapsed="false">
      <c r="A114" s="3" t="n">
        <v>113</v>
      </c>
      <c r="B114" s="4" t="s">
        <v>10</v>
      </c>
      <c r="C114" s="3" t="s">
        <v>339</v>
      </c>
      <c r="D114" s="5" t="s">
        <v>340</v>
      </c>
      <c r="E114" s="5" t="s">
        <v>380</v>
      </c>
      <c r="F114" s="9" t="s">
        <v>394</v>
      </c>
      <c r="G114" s="11" t="s">
        <v>111</v>
      </c>
      <c r="H114" s="8" t="s">
        <v>395</v>
      </c>
      <c r="I114" s="3" t="s">
        <v>305</v>
      </c>
      <c r="J114" s="10" t="s">
        <v>396</v>
      </c>
    </row>
    <row r="115" customFormat="false" ht="15" hidden="false" customHeight="false" outlineLevel="0" collapsed="false">
      <c r="A115" s="3" t="n">
        <v>114</v>
      </c>
      <c r="B115" s="4" t="s">
        <v>10</v>
      </c>
      <c r="C115" s="3" t="s">
        <v>339</v>
      </c>
      <c r="D115" s="5" t="s">
        <v>340</v>
      </c>
      <c r="E115" s="5" t="s">
        <v>380</v>
      </c>
      <c r="F115" s="9" t="s">
        <v>397</v>
      </c>
      <c r="G115" s="7" t="s">
        <v>15</v>
      </c>
      <c r="H115" s="8" t="s">
        <v>398</v>
      </c>
      <c r="I115" s="3" t="s">
        <v>142</v>
      </c>
      <c r="J115" s="5" t="s">
        <v>399</v>
      </c>
    </row>
    <row r="116" customFormat="false" ht="15" hidden="false" customHeight="false" outlineLevel="0" collapsed="false">
      <c r="A116" s="3" t="n">
        <v>115</v>
      </c>
      <c r="B116" s="4" t="s">
        <v>10</v>
      </c>
      <c r="C116" s="3" t="s">
        <v>339</v>
      </c>
      <c r="D116" s="5" t="s">
        <v>340</v>
      </c>
      <c r="E116" s="5" t="s">
        <v>400</v>
      </c>
      <c r="F116" s="9" t="s">
        <v>401</v>
      </c>
      <c r="G116" s="11" t="s">
        <v>111</v>
      </c>
      <c r="H116" s="8" t="s">
        <v>402</v>
      </c>
      <c r="I116" s="3" t="s">
        <v>57</v>
      </c>
      <c r="J116" s="5" t="s">
        <v>403</v>
      </c>
    </row>
    <row r="117" customFormat="false" ht="15" hidden="false" customHeight="false" outlineLevel="0" collapsed="false">
      <c r="A117" s="3" t="n">
        <v>116</v>
      </c>
      <c r="B117" s="4" t="s">
        <v>10</v>
      </c>
      <c r="C117" s="3" t="s">
        <v>339</v>
      </c>
      <c r="D117" s="5" t="s">
        <v>340</v>
      </c>
      <c r="E117" s="5" t="s">
        <v>400</v>
      </c>
      <c r="F117" s="9" t="s">
        <v>404</v>
      </c>
      <c r="G117" s="11" t="s">
        <v>111</v>
      </c>
      <c r="H117" s="8" t="s">
        <v>405</v>
      </c>
      <c r="I117" s="3" t="s">
        <v>57</v>
      </c>
      <c r="J117" s="5" t="s">
        <v>406</v>
      </c>
    </row>
    <row r="118" customFormat="false" ht="15" hidden="false" customHeight="false" outlineLevel="0" collapsed="false">
      <c r="A118" s="3" t="n">
        <v>117</v>
      </c>
      <c r="B118" s="4" t="s">
        <v>10</v>
      </c>
      <c r="C118" s="3" t="s">
        <v>339</v>
      </c>
      <c r="D118" s="5" t="s">
        <v>340</v>
      </c>
      <c r="E118" s="5" t="s">
        <v>400</v>
      </c>
      <c r="F118" s="9" t="s">
        <v>407</v>
      </c>
      <c r="G118" s="11" t="s">
        <v>111</v>
      </c>
      <c r="H118" s="8" t="s">
        <v>408</v>
      </c>
      <c r="I118" s="3" t="s">
        <v>57</v>
      </c>
      <c r="J118" s="5" t="s">
        <v>409</v>
      </c>
    </row>
    <row r="119" customFormat="false" ht="15" hidden="false" customHeight="false" outlineLevel="0" collapsed="false">
      <c r="A119" s="3" t="n">
        <v>118</v>
      </c>
      <c r="B119" s="4" t="s">
        <v>10</v>
      </c>
      <c r="C119" s="3" t="s">
        <v>339</v>
      </c>
      <c r="D119" s="5" t="s">
        <v>340</v>
      </c>
      <c r="E119" s="5" t="s">
        <v>400</v>
      </c>
      <c r="F119" s="9" t="s">
        <v>410</v>
      </c>
      <c r="G119" s="7" t="s">
        <v>15</v>
      </c>
      <c r="H119" s="8" t="s">
        <v>411</v>
      </c>
      <c r="I119" s="3" t="s">
        <v>80</v>
      </c>
      <c r="J119" s="5" t="s">
        <v>412</v>
      </c>
    </row>
    <row r="120" customFormat="false" ht="15" hidden="false" customHeight="false" outlineLevel="0" collapsed="false">
      <c r="A120" s="3" t="n">
        <v>119</v>
      </c>
      <c r="B120" s="4" t="s">
        <v>10</v>
      </c>
      <c r="C120" s="3" t="s">
        <v>339</v>
      </c>
      <c r="D120" s="5" t="s">
        <v>340</v>
      </c>
      <c r="E120" s="5" t="s">
        <v>400</v>
      </c>
      <c r="F120" s="9" t="s">
        <v>413</v>
      </c>
      <c r="G120" s="11" t="s">
        <v>111</v>
      </c>
      <c r="H120" s="8" t="s">
        <v>414</v>
      </c>
      <c r="I120" s="3" t="s">
        <v>57</v>
      </c>
      <c r="J120" s="10" t="s">
        <v>415</v>
      </c>
    </row>
    <row r="121" customFormat="false" ht="15" hidden="false" customHeight="false" outlineLevel="0" collapsed="false">
      <c r="A121" s="3" t="n">
        <v>120</v>
      </c>
      <c r="B121" s="4" t="s">
        <v>10</v>
      </c>
      <c r="C121" s="3" t="s">
        <v>339</v>
      </c>
      <c r="D121" s="5" t="s">
        <v>340</v>
      </c>
      <c r="E121" s="5" t="s">
        <v>400</v>
      </c>
      <c r="F121" s="9" t="s">
        <v>416</v>
      </c>
      <c r="G121" s="7" t="s">
        <v>15</v>
      </c>
      <c r="H121" s="8" t="s">
        <v>417</v>
      </c>
      <c r="I121" s="3" t="s">
        <v>57</v>
      </c>
      <c r="J121" s="10" t="s">
        <v>418</v>
      </c>
    </row>
    <row r="122" customFormat="false" ht="15" hidden="false" customHeight="false" outlineLevel="0" collapsed="false">
      <c r="A122" s="3" t="n">
        <v>121</v>
      </c>
      <c r="B122" s="4" t="s">
        <v>10</v>
      </c>
      <c r="C122" s="3" t="s">
        <v>339</v>
      </c>
      <c r="D122" s="5" t="s">
        <v>340</v>
      </c>
      <c r="E122" s="5" t="s">
        <v>419</v>
      </c>
      <c r="F122" s="9" t="s">
        <v>420</v>
      </c>
      <c r="G122" s="7" t="s">
        <v>15</v>
      </c>
      <c r="H122" s="8" t="s">
        <v>421</v>
      </c>
      <c r="I122" s="3" t="s">
        <v>125</v>
      </c>
      <c r="J122" s="5" t="s">
        <v>422</v>
      </c>
    </row>
    <row r="123" customFormat="false" ht="15" hidden="false" customHeight="false" outlineLevel="0" collapsed="false">
      <c r="A123" s="3" t="n">
        <v>122</v>
      </c>
      <c r="B123" s="4" t="s">
        <v>10</v>
      </c>
      <c r="C123" s="3" t="s">
        <v>339</v>
      </c>
      <c r="D123" s="5" t="s">
        <v>340</v>
      </c>
      <c r="E123" s="5" t="s">
        <v>419</v>
      </c>
      <c r="F123" s="9" t="s">
        <v>423</v>
      </c>
      <c r="G123" s="7" t="s">
        <v>15</v>
      </c>
      <c r="H123" s="8" t="s">
        <v>424</v>
      </c>
      <c r="I123" s="3" t="s">
        <v>21</v>
      </c>
      <c r="J123" s="5" t="s">
        <v>425</v>
      </c>
    </row>
    <row r="124" customFormat="false" ht="15" hidden="false" customHeight="false" outlineLevel="0" collapsed="false">
      <c r="A124" s="3" t="n">
        <v>123</v>
      </c>
      <c r="B124" s="4" t="s">
        <v>10</v>
      </c>
      <c r="C124" s="3" t="s">
        <v>339</v>
      </c>
      <c r="D124" s="5" t="s">
        <v>340</v>
      </c>
      <c r="E124" s="5" t="s">
        <v>419</v>
      </c>
      <c r="F124" s="9" t="s">
        <v>426</v>
      </c>
      <c r="G124" s="11" t="s">
        <v>111</v>
      </c>
      <c r="H124" s="8" t="s">
        <v>427</v>
      </c>
      <c r="I124" s="3" t="s">
        <v>53</v>
      </c>
      <c r="J124" s="5" t="s">
        <v>428</v>
      </c>
    </row>
    <row r="125" customFormat="false" ht="15" hidden="false" customHeight="false" outlineLevel="0" collapsed="false">
      <c r="A125" s="3" t="n">
        <v>124</v>
      </c>
      <c r="B125" s="4" t="s">
        <v>10</v>
      </c>
      <c r="C125" s="3" t="s">
        <v>339</v>
      </c>
      <c r="D125" s="5" t="s">
        <v>340</v>
      </c>
      <c r="E125" s="5" t="s">
        <v>419</v>
      </c>
      <c r="F125" s="9" t="s">
        <v>429</v>
      </c>
      <c r="G125" s="7" t="s">
        <v>15</v>
      </c>
      <c r="H125" s="8" t="s">
        <v>430</v>
      </c>
      <c r="I125" s="3" t="s">
        <v>57</v>
      </c>
      <c r="J125" s="10" t="s">
        <v>431</v>
      </c>
    </row>
    <row r="126" customFormat="false" ht="15" hidden="false" customHeight="false" outlineLevel="0" collapsed="false">
      <c r="A126" s="3" t="n">
        <v>125</v>
      </c>
      <c r="B126" s="4" t="s">
        <v>10</v>
      </c>
      <c r="C126" s="3" t="s">
        <v>339</v>
      </c>
      <c r="D126" s="5" t="s">
        <v>340</v>
      </c>
      <c r="E126" s="5" t="s">
        <v>419</v>
      </c>
      <c r="F126" s="9" t="s">
        <v>432</v>
      </c>
      <c r="G126" s="11" t="s">
        <v>111</v>
      </c>
      <c r="H126" s="8" t="s">
        <v>433</v>
      </c>
      <c r="I126" s="3" t="s">
        <v>331</v>
      </c>
      <c r="J126" s="5" t="s">
        <v>434</v>
      </c>
    </row>
    <row r="127" customFormat="false" ht="15" hidden="false" customHeight="false" outlineLevel="0" collapsed="false">
      <c r="A127" s="3" t="n">
        <v>126</v>
      </c>
      <c r="B127" s="4" t="s">
        <v>10</v>
      </c>
      <c r="C127" s="3" t="s">
        <v>339</v>
      </c>
      <c r="D127" s="5" t="s">
        <v>340</v>
      </c>
      <c r="E127" s="5" t="s">
        <v>419</v>
      </c>
      <c r="F127" s="9" t="s">
        <v>435</v>
      </c>
      <c r="G127" s="7" t="s">
        <v>15</v>
      </c>
      <c r="H127" s="8" t="s">
        <v>436</v>
      </c>
      <c r="I127" s="3" t="s">
        <v>80</v>
      </c>
      <c r="J127" s="5" t="s">
        <v>437</v>
      </c>
    </row>
    <row r="128" customFormat="false" ht="15" hidden="false" customHeight="false" outlineLevel="0" collapsed="false">
      <c r="A128" s="3" t="n">
        <v>127</v>
      </c>
      <c r="B128" s="4" t="s">
        <v>10</v>
      </c>
      <c r="C128" s="3" t="s">
        <v>339</v>
      </c>
      <c r="D128" s="5" t="s">
        <v>340</v>
      </c>
      <c r="E128" s="5" t="s">
        <v>438</v>
      </c>
      <c r="F128" s="9" t="s">
        <v>439</v>
      </c>
      <c r="G128" s="7" t="s">
        <v>15</v>
      </c>
      <c r="H128" s="8" t="s">
        <v>440</v>
      </c>
      <c r="I128" s="3" t="s">
        <v>80</v>
      </c>
      <c r="J128" s="5" t="s">
        <v>441</v>
      </c>
    </row>
    <row r="129" customFormat="false" ht="15" hidden="false" customHeight="false" outlineLevel="0" collapsed="false">
      <c r="A129" s="3" t="n">
        <v>128</v>
      </c>
      <c r="B129" s="4" t="s">
        <v>10</v>
      </c>
      <c r="C129" s="3" t="s">
        <v>339</v>
      </c>
      <c r="D129" s="5" t="s">
        <v>340</v>
      </c>
      <c r="E129" s="5" t="s">
        <v>438</v>
      </c>
      <c r="F129" s="9" t="s">
        <v>442</v>
      </c>
      <c r="G129" s="7" t="s">
        <v>15</v>
      </c>
      <c r="H129" s="8" t="s">
        <v>443</v>
      </c>
      <c r="I129" s="3" t="s">
        <v>142</v>
      </c>
      <c r="J129" s="5" t="s">
        <v>444</v>
      </c>
    </row>
    <row r="130" customFormat="false" ht="15" hidden="false" customHeight="false" outlineLevel="0" collapsed="false">
      <c r="A130" s="3" t="n">
        <v>129</v>
      </c>
      <c r="B130" s="4" t="s">
        <v>10</v>
      </c>
      <c r="C130" s="3" t="s">
        <v>339</v>
      </c>
      <c r="D130" s="5" t="s">
        <v>340</v>
      </c>
      <c r="E130" s="5" t="s">
        <v>438</v>
      </c>
      <c r="F130" s="9" t="s">
        <v>445</v>
      </c>
      <c r="G130" s="7" t="s">
        <v>15</v>
      </c>
      <c r="H130" s="8" t="s">
        <v>446</v>
      </c>
      <c r="I130" s="3" t="s">
        <v>142</v>
      </c>
      <c r="J130" s="5" t="s">
        <v>447</v>
      </c>
    </row>
    <row r="131" customFormat="false" ht="15" hidden="false" customHeight="false" outlineLevel="0" collapsed="false">
      <c r="A131" s="3" t="n">
        <v>130</v>
      </c>
      <c r="B131" s="4" t="s">
        <v>10</v>
      </c>
      <c r="C131" s="3" t="s">
        <v>339</v>
      </c>
      <c r="D131" s="5" t="s">
        <v>340</v>
      </c>
      <c r="E131" s="5" t="s">
        <v>438</v>
      </c>
      <c r="F131" s="9" t="s">
        <v>448</v>
      </c>
      <c r="G131" s="7" t="s">
        <v>15</v>
      </c>
      <c r="H131" s="8" t="s">
        <v>449</v>
      </c>
      <c r="I131" s="3" t="s">
        <v>142</v>
      </c>
      <c r="J131" s="5" t="s">
        <v>450</v>
      </c>
    </row>
    <row r="132" customFormat="false" ht="15" hidden="false" customHeight="false" outlineLevel="0" collapsed="false">
      <c r="A132" s="3" t="n">
        <v>131</v>
      </c>
      <c r="B132" s="4" t="s">
        <v>10</v>
      </c>
      <c r="C132" s="3" t="s">
        <v>339</v>
      </c>
      <c r="D132" s="5" t="s">
        <v>340</v>
      </c>
      <c r="E132" s="5" t="s">
        <v>438</v>
      </c>
      <c r="F132" s="9" t="s">
        <v>451</v>
      </c>
      <c r="G132" s="7" t="s">
        <v>15</v>
      </c>
      <c r="H132" s="8" t="s">
        <v>452</v>
      </c>
      <c r="I132" s="3" t="s">
        <v>80</v>
      </c>
      <c r="J132" s="5" t="s">
        <v>453</v>
      </c>
    </row>
    <row r="133" customFormat="false" ht="15" hidden="false" customHeight="false" outlineLevel="0" collapsed="false">
      <c r="A133" s="3" t="n">
        <v>132</v>
      </c>
      <c r="B133" s="4" t="s">
        <v>10</v>
      </c>
      <c r="C133" s="3" t="s">
        <v>339</v>
      </c>
      <c r="D133" s="5" t="s">
        <v>340</v>
      </c>
      <c r="E133" s="5" t="s">
        <v>438</v>
      </c>
      <c r="F133" s="9" t="s">
        <v>454</v>
      </c>
      <c r="G133" s="11" t="s">
        <v>111</v>
      </c>
      <c r="H133" s="8" t="s">
        <v>455</v>
      </c>
      <c r="I133" s="3" t="s">
        <v>53</v>
      </c>
      <c r="J133" s="5" t="s">
        <v>456</v>
      </c>
    </row>
    <row r="134" customFormat="false" ht="15" hidden="false" customHeight="false" outlineLevel="0" collapsed="false">
      <c r="A134" s="3" t="n">
        <v>133</v>
      </c>
      <c r="B134" s="4" t="s">
        <v>10</v>
      </c>
      <c r="C134" s="3" t="s">
        <v>339</v>
      </c>
      <c r="D134" s="5" t="s">
        <v>340</v>
      </c>
      <c r="E134" s="5" t="s">
        <v>457</v>
      </c>
      <c r="F134" s="9" t="s">
        <v>458</v>
      </c>
      <c r="G134" s="7" t="s">
        <v>15</v>
      </c>
      <c r="H134" s="8" t="s">
        <v>459</v>
      </c>
      <c r="I134" s="3" t="s">
        <v>460</v>
      </c>
      <c r="J134" s="5" t="s">
        <v>461</v>
      </c>
    </row>
    <row r="135" customFormat="false" ht="15" hidden="false" customHeight="false" outlineLevel="0" collapsed="false">
      <c r="A135" s="3" t="n">
        <v>134</v>
      </c>
      <c r="B135" s="4" t="s">
        <v>10</v>
      </c>
      <c r="C135" s="3" t="s">
        <v>339</v>
      </c>
      <c r="D135" s="5" t="s">
        <v>340</v>
      </c>
      <c r="E135" s="5" t="s">
        <v>457</v>
      </c>
      <c r="F135" s="9" t="s">
        <v>462</v>
      </c>
      <c r="G135" s="11" t="s">
        <v>111</v>
      </c>
      <c r="H135" s="8" t="s">
        <v>463</v>
      </c>
      <c r="I135" s="3" t="s">
        <v>460</v>
      </c>
      <c r="J135" s="5" t="s">
        <v>464</v>
      </c>
    </row>
    <row r="136" customFormat="false" ht="15" hidden="false" customHeight="false" outlineLevel="0" collapsed="false">
      <c r="A136" s="3" t="n">
        <v>135</v>
      </c>
      <c r="B136" s="4" t="s">
        <v>10</v>
      </c>
      <c r="C136" s="3" t="s">
        <v>339</v>
      </c>
      <c r="D136" s="5" t="s">
        <v>340</v>
      </c>
      <c r="E136" s="5" t="s">
        <v>457</v>
      </c>
      <c r="F136" s="9" t="s">
        <v>465</v>
      </c>
      <c r="G136" s="7" t="s">
        <v>15</v>
      </c>
      <c r="H136" s="8" t="s">
        <v>466</v>
      </c>
      <c r="I136" s="3" t="s">
        <v>29</v>
      </c>
      <c r="J136" s="10" t="s">
        <v>467</v>
      </c>
    </row>
    <row r="137" customFormat="false" ht="15" hidden="false" customHeight="false" outlineLevel="0" collapsed="false">
      <c r="A137" s="3" t="n">
        <v>136</v>
      </c>
      <c r="B137" s="4" t="s">
        <v>10</v>
      </c>
      <c r="C137" s="3" t="s">
        <v>339</v>
      </c>
      <c r="D137" s="5" t="s">
        <v>340</v>
      </c>
      <c r="E137" s="5" t="s">
        <v>457</v>
      </c>
      <c r="F137" s="9" t="s">
        <v>468</v>
      </c>
      <c r="G137" s="7" t="s">
        <v>15</v>
      </c>
      <c r="H137" s="8" t="s">
        <v>469</v>
      </c>
      <c r="I137" s="3" t="s">
        <v>460</v>
      </c>
      <c r="J137" s="5" t="s">
        <v>470</v>
      </c>
    </row>
    <row r="138" customFormat="false" ht="15" hidden="false" customHeight="false" outlineLevel="0" collapsed="false">
      <c r="A138" s="3" t="n">
        <v>137</v>
      </c>
      <c r="B138" s="4" t="s">
        <v>10</v>
      </c>
      <c r="C138" s="3" t="s">
        <v>339</v>
      </c>
      <c r="D138" s="5" t="s">
        <v>340</v>
      </c>
      <c r="E138" s="5" t="s">
        <v>457</v>
      </c>
      <c r="F138" s="9" t="s">
        <v>471</v>
      </c>
      <c r="G138" s="7" t="s">
        <v>15</v>
      </c>
      <c r="H138" s="8" t="s">
        <v>472</v>
      </c>
      <c r="I138" s="3" t="s">
        <v>57</v>
      </c>
      <c r="J138" s="10" t="s">
        <v>473</v>
      </c>
    </row>
    <row r="139" customFormat="false" ht="15" hidden="false" customHeight="false" outlineLevel="0" collapsed="false">
      <c r="A139" s="3" t="n">
        <v>138</v>
      </c>
      <c r="B139" s="4" t="s">
        <v>10</v>
      </c>
      <c r="C139" s="3" t="s">
        <v>339</v>
      </c>
      <c r="D139" s="5" t="s">
        <v>340</v>
      </c>
      <c r="E139" s="5" t="s">
        <v>457</v>
      </c>
      <c r="F139" s="9" t="s">
        <v>474</v>
      </c>
      <c r="G139" s="7" t="s">
        <v>15</v>
      </c>
      <c r="H139" s="8" t="s">
        <v>475</v>
      </c>
      <c r="I139" s="3" t="s">
        <v>57</v>
      </c>
      <c r="J139" s="10" t="s">
        <v>476</v>
      </c>
    </row>
    <row r="140" customFormat="false" ht="15" hidden="false" customHeight="false" outlineLevel="0" collapsed="false">
      <c r="A140" s="3" t="n">
        <v>139</v>
      </c>
      <c r="B140" s="4" t="s">
        <v>10</v>
      </c>
      <c r="C140" s="3" t="s">
        <v>339</v>
      </c>
      <c r="D140" s="5" t="s">
        <v>340</v>
      </c>
      <c r="E140" s="5" t="s">
        <v>477</v>
      </c>
      <c r="F140" s="6" t="s">
        <v>478</v>
      </c>
      <c r="G140" s="12" t="s">
        <v>168</v>
      </c>
      <c r="H140" s="13" t="s">
        <v>169</v>
      </c>
      <c r="I140" s="3" t="s">
        <v>169</v>
      </c>
      <c r="J140" s="5" t="s">
        <v>479</v>
      </c>
    </row>
    <row r="141" customFormat="false" ht="15" hidden="false" customHeight="false" outlineLevel="0" collapsed="false">
      <c r="A141" s="3" t="n">
        <v>140</v>
      </c>
      <c r="B141" s="4" t="s">
        <v>10</v>
      </c>
      <c r="C141" s="3" t="s">
        <v>339</v>
      </c>
      <c r="D141" s="5" t="s">
        <v>340</v>
      </c>
      <c r="E141" s="5" t="s">
        <v>477</v>
      </c>
      <c r="F141" s="9" t="s">
        <v>480</v>
      </c>
      <c r="G141" s="16" t="s">
        <v>303</v>
      </c>
      <c r="H141" s="13" t="s">
        <v>481</v>
      </c>
      <c r="I141" s="3" t="s">
        <v>80</v>
      </c>
      <c r="J141" s="5" t="s">
        <v>482</v>
      </c>
    </row>
    <row r="142" customFormat="false" ht="15" hidden="false" customHeight="false" outlineLevel="0" collapsed="false">
      <c r="A142" s="3" t="n">
        <v>141</v>
      </c>
      <c r="B142" s="4" t="s">
        <v>10</v>
      </c>
      <c r="C142" s="3" t="s">
        <v>339</v>
      </c>
      <c r="D142" s="5" t="s">
        <v>340</v>
      </c>
      <c r="E142" s="5" t="s">
        <v>477</v>
      </c>
      <c r="F142" s="9" t="s">
        <v>483</v>
      </c>
      <c r="G142" s="11" t="s">
        <v>111</v>
      </c>
      <c r="H142" s="8" t="s">
        <v>484</v>
      </c>
      <c r="I142" s="3" t="s">
        <v>331</v>
      </c>
      <c r="J142" s="5" t="s">
        <v>485</v>
      </c>
    </row>
    <row r="143" customFormat="false" ht="15" hidden="false" customHeight="false" outlineLevel="0" collapsed="false">
      <c r="A143" s="3" t="n">
        <v>142</v>
      </c>
      <c r="B143" s="4" t="s">
        <v>10</v>
      </c>
      <c r="C143" s="3" t="s">
        <v>339</v>
      </c>
      <c r="D143" s="5" t="s">
        <v>340</v>
      </c>
      <c r="E143" s="5" t="s">
        <v>477</v>
      </c>
      <c r="F143" s="9" t="s">
        <v>486</v>
      </c>
      <c r="G143" s="11" t="s">
        <v>111</v>
      </c>
      <c r="H143" s="8" t="s">
        <v>487</v>
      </c>
      <c r="I143" s="3" t="s">
        <v>57</v>
      </c>
      <c r="J143" s="5" t="s">
        <v>488</v>
      </c>
    </row>
    <row r="144" customFormat="false" ht="15" hidden="false" customHeight="false" outlineLevel="0" collapsed="false">
      <c r="A144" s="3" t="n">
        <v>143</v>
      </c>
      <c r="B144" s="4" t="s">
        <v>10</v>
      </c>
      <c r="C144" s="3" t="s">
        <v>339</v>
      </c>
      <c r="D144" s="5" t="s">
        <v>340</v>
      </c>
      <c r="E144" s="5" t="s">
        <v>477</v>
      </c>
      <c r="F144" s="9" t="s">
        <v>489</v>
      </c>
      <c r="G144" s="11" t="s">
        <v>111</v>
      </c>
      <c r="H144" s="8" t="s">
        <v>490</v>
      </c>
      <c r="I144" s="3" t="s">
        <v>57</v>
      </c>
      <c r="J144" s="5" t="s">
        <v>491</v>
      </c>
    </row>
    <row r="145" customFormat="false" ht="15" hidden="false" customHeight="false" outlineLevel="0" collapsed="false">
      <c r="A145" s="3" t="n">
        <v>144</v>
      </c>
      <c r="B145" s="4" t="s">
        <v>10</v>
      </c>
      <c r="C145" s="3" t="s">
        <v>339</v>
      </c>
      <c r="D145" s="5" t="s">
        <v>340</v>
      </c>
      <c r="E145" s="5" t="s">
        <v>477</v>
      </c>
      <c r="F145" s="9" t="s">
        <v>492</v>
      </c>
      <c r="G145" s="11" t="s">
        <v>111</v>
      </c>
      <c r="H145" s="8" t="s">
        <v>493</v>
      </c>
      <c r="I145" s="3" t="s">
        <v>57</v>
      </c>
      <c r="J145" s="5" t="s">
        <v>494</v>
      </c>
    </row>
    <row r="146" customFormat="false" ht="15" hidden="false" customHeight="false" outlineLevel="0" collapsed="false">
      <c r="A146" s="3" t="n">
        <v>145</v>
      </c>
      <c r="B146" s="4" t="s">
        <v>10</v>
      </c>
      <c r="C146" s="3" t="s">
        <v>495</v>
      </c>
      <c r="D146" s="5" t="s">
        <v>496</v>
      </c>
      <c r="E146" s="5" t="s">
        <v>497</v>
      </c>
      <c r="F146" s="9" t="s">
        <v>498</v>
      </c>
      <c r="G146" s="7" t="s">
        <v>15</v>
      </c>
      <c r="H146" s="8" t="s">
        <v>499</v>
      </c>
      <c r="I146" s="3" t="s">
        <v>125</v>
      </c>
      <c r="J146" s="5" t="s">
        <v>500</v>
      </c>
    </row>
    <row r="147" customFormat="false" ht="15" hidden="false" customHeight="false" outlineLevel="0" collapsed="false">
      <c r="A147" s="3" t="n">
        <v>146</v>
      </c>
      <c r="B147" s="4" t="s">
        <v>10</v>
      </c>
      <c r="C147" s="3" t="s">
        <v>495</v>
      </c>
      <c r="D147" s="5" t="s">
        <v>496</v>
      </c>
      <c r="E147" s="5" t="s">
        <v>497</v>
      </c>
      <c r="F147" s="9" t="s">
        <v>501</v>
      </c>
      <c r="G147" s="7" t="s">
        <v>15</v>
      </c>
      <c r="H147" s="8" t="s">
        <v>502</v>
      </c>
      <c r="I147" s="3" t="s">
        <v>29</v>
      </c>
      <c r="J147" s="10" t="s">
        <v>503</v>
      </c>
    </row>
    <row r="148" customFormat="false" ht="15" hidden="false" customHeight="false" outlineLevel="0" collapsed="false">
      <c r="A148" s="3" t="n">
        <v>147</v>
      </c>
      <c r="B148" s="4" t="s">
        <v>10</v>
      </c>
      <c r="C148" s="3" t="s">
        <v>495</v>
      </c>
      <c r="D148" s="5" t="s">
        <v>496</v>
      </c>
      <c r="E148" s="5" t="s">
        <v>497</v>
      </c>
      <c r="F148" s="9" t="s">
        <v>504</v>
      </c>
      <c r="G148" s="7" t="s">
        <v>15</v>
      </c>
      <c r="H148" s="8" t="s">
        <v>505</v>
      </c>
      <c r="I148" s="3" t="s">
        <v>17</v>
      </c>
      <c r="J148" s="5" t="s">
        <v>506</v>
      </c>
    </row>
    <row r="149" customFormat="false" ht="15" hidden="false" customHeight="false" outlineLevel="0" collapsed="false">
      <c r="A149" s="3" t="n">
        <v>148</v>
      </c>
      <c r="B149" s="4" t="s">
        <v>10</v>
      </c>
      <c r="C149" s="3" t="s">
        <v>495</v>
      </c>
      <c r="D149" s="5" t="s">
        <v>496</v>
      </c>
      <c r="E149" s="5" t="s">
        <v>497</v>
      </c>
      <c r="F149" s="9" t="s">
        <v>507</v>
      </c>
      <c r="G149" s="7" t="s">
        <v>15</v>
      </c>
      <c r="H149" s="8" t="s">
        <v>508</v>
      </c>
      <c r="I149" s="3" t="s">
        <v>125</v>
      </c>
      <c r="J149" s="5" t="s">
        <v>509</v>
      </c>
    </row>
    <row r="150" customFormat="false" ht="15" hidden="false" customHeight="false" outlineLevel="0" collapsed="false">
      <c r="A150" s="3" t="n">
        <v>149</v>
      </c>
      <c r="B150" s="4" t="s">
        <v>10</v>
      </c>
      <c r="C150" s="3" t="s">
        <v>495</v>
      </c>
      <c r="D150" s="5" t="s">
        <v>496</v>
      </c>
      <c r="E150" s="5" t="s">
        <v>497</v>
      </c>
      <c r="F150" s="9" t="s">
        <v>510</v>
      </c>
      <c r="G150" s="7" t="s">
        <v>15</v>
      </c>
      <c r="H150" s="8" t="s">
        <v>511</v>
      </c>
      <c r="I150" s="3" t="s">
        <v>57</v>
      </c>
      <c r="J150" s="10" t="s">
        <v>512</v>
      </c>
    </row>
    <row r="151" customFormat="false" ht="15" hidden="false" customHeight="false" outlineLevel="0" collapsed="false">
      <c r="A151" s="3" t="n">
        <v>150</v>
      </c>
      <c r="B151" s="4" t="s">
        <v>10</v>
      </c>
      <c r="C151" s="3" t="s">
        <v>495</v>
      </c>
      <c r="D151" s="5" t="s">
        <v>496</v>
      </c>
      <c r="E151" s="5" t="s">
        <v>497</v>
      </c>
      <c r="F151" s="9" t="s">
        <v>513</v>
      </c>
      <c r="G151" s="7" t="s">
        <v>15</v>
      </c>
      <c r="H151" s="8" t="s">
        <v>514</v>
      </c>
      <c r="I151" s="3" t="s">
        <v>29</v>
      </c>
      <c r="J151" s="10" t="s">
        <v>515</v>
      </c>
    </row>
    <row r="152" customFormat="false" ht="15" hidden="false" customHeight="false" outlineLevel="0" collapsed="false">
      <c r="A152" s="3" t="n">
        <v>151</v>
      </c>
      <c r="B152" s="4" t="s">
        <v>10</v>
      </c>
      <c r="C152" s="3" t="s">
        <v>495</v>
      </c>
      <c r="D152" s="5" t="s">
        <v>496</v>
      </c>
      <c r="E152" s="5" t="s">
        <v>516</v>
      </c>
      <c r="F152" s="9" t="s">
        <v>517</v>
      </c>
      <c r="G152" s="7" t="s">
        <v>15</v>
      </c>
      <c r="H152" s="8" t="s">
        <v>518</v>
      </c>
      <c r="I152" s="3" t="s">
        <v>25</v>
      </c>
      <c r="J152" s="10" t="s">
        <v>519</v>
      </c>
    </row>
    <row r="153" customFormat="false" ht="15" hidden="false" customHeight="false" outlineLevel="0" collapsed="false">
      <c r="A153" s="3" t="n">
        <v>152</v>
      </c>
      <c r="B153" s="4" t="s">
        <v>10</v>
      </c>
      <c r="C153" s="3" t="s">
        <v>495</v>
      </c>
      <c r="D153" s="5" t="s">
        <v>496</v>
      </c>
      <c r="E153" s="5" t="s">
        <v>516</v>
      </c>
      <c r="F153" s="9" t="s">
        <v>520</v>
      </c>
      <c r="G153" s="7" t="s">
        <v>15</v>
      </c>
      <c r="H153" s="8" t="s">
        <v>521</v>
      </c>
      <c r="I153" s="3" t="s">
        <v>29</v>
      </c>
      <c r="J153" s="10" t="s">
        <v>522</v>
      </c>
    </row>
    <row r="154" customFormat="false" ht="15" hidden="false" customHeight="false" outlineLevel="0" collapsed="false">
      <c r="A154" s="3" t="n">
        <v>153</v>
      </c>
      <c r="B154" s="4" t="s">
        <v>10</v>
      </c>
      <c r="C154" s="3" t="s">
        <v>495</v>
      </c>
      <c r="D154" s="5" t="s">
        <v>496</v>
      </c>
      <c r="E154" s="5" t="s">
        <v>516</v>
      </c>
      <c r="F154" s="9" t="s">
        <v>523</v>
      </c>
      <c r="G154" s="7" t="s">
        <v>15</v>
      </c>
      <c r="H154" s="8" t="s">
        <v>524</v>
      </c>
      <c r="I154" s="3" t="s">
        <v>25</v>
      </c>
      <c r="J154" s="10" t="s">
        <v>525</v>
      </c>
    </row>
    <row r="155" customFormat="false" ht="15" hidden="false" customHeight="false" outlineLevel="0" collapsed="false">
      <c r="A155" s="3" t="n">
        <v>154</v>
      </c>
      <c r="B155" s="4" t="s">
        <v>10</v>
      </c>
      <c r="C155" s="3" t="s">
        <v>495</v>
      </c>
      <c r="D155" s="5" t="s">
        <v>496</v>
      </c>
      <c r="E155" s="5" t="s">
        <v>516</v>
      </c>
      <c r="F155" s="9" t="s">
        <v>526</v>
      </c>
      <c r="G155" s="7" t="s">
        <v>15</v>
      </c>
      <c r="H155" s="8" t="s">
        <v>527</v>
      </c>
      <c r="I155" s="3" t="s">
        <v>25</v>
      </c>
      <c r="J155" s="5" t="s">
        <v>528</v>
      </c>
    </row>
    <row r="156" customFormat="false" ht="15" hidden="false" customHeight="false" outlineLevel="0" collapsed="false">
      <c r="A156" s="3" t="n">
        <v>155</v>
      </c>
      <c r="B156" s="4" t="s">
        <v>10</v>
      </c>
      <c r="C156" s="3" t="s">
        <v>495</v>
      </c>
      <c r="D156" s="5" t="s">
        <v>496</v>
      </c>
      <c r="E156" s="5" t="s">
        <v>516</v>
      </c>
      <c r="F156" s="9" t="s">
        <v>529</v>
      </c>
      <c r="G156" s="7" t="s">
        <v>15</v>
      </c>
      <c r="H156" s="8" t="s">
        <v>530</v>
      </c>
      <c r="I156" s="3" t="s">
        <v>125</v>
      </c>
      <c r="J156" s="5" t="s">
        <v>531</v>
      </c>
    </row>
    <row r="157" customFormat="false" ht="15" hidden="false" customHeight="false" outlineLevel="0" collapsed="false">
      <c r="A157" s="3" t="n">
        <v>156</v>
      </c>
      <c r="B157" s="4" t="s">
        <v>10</v>
      </c>
      <c r="C157" s="3" t="s">
        <v>495</v>
      </c>
      <c r="D157" s="5" t="s">
        <v>496</v>
      </c>
      <c r="E157" s="5" t="s">
        <v>516</v>
      </c>
      <c r="F157" s="9" t="s">
        <v>532</v>
      </c>
      <c r="G157" s="11" t="s">
        <v>111</v>
      </c>
      <c r="H157" s="8" t="s">
        <v>533</v>
      </c>
      <c r="I157" s="3" t="s">
        <v>25</v>
      </c>
      <c r="J157" s="5" t="s">
        <v>534</v>
      </c>
    </row>
    <row r="158" customFormat="false" ht="15" hidden="false" customHeight="false" outlineLevel="0" collapsed="false">
      <c r="A158" s="3" t="n">
        <v>157</v>
      </c>
      <c r="B158" s="4" t="s">
        <v>10</v>
      </c>
      <c r="C158" s="3" t="s">
        <v>495</v>
      </c>
      <c r="D158" s="5" t="s">
        <v>496</v>
      </c>
      <c r="E158" s="5" t="s">
        <v>535</v>
      </c>
      <c r="F158" s="9" t="s">
        <v>536</v>
      </c>
      <c r="G158" s="7" t="s">
        <v>15</v>
      </c>
      <c r="H158" s="8" t="s">
        <v>537</v>
      </c>
      <c r="I158" s="3" t="s">
        <v>538</v>
      </c>
      <c r="J158" s="10" t="s">
        <v>539</v>
      </c>
    </row>
    <row r="159" customFormat="false" ht="15" hidden="false" customHeight="false" outlineLevel="0" collapsed="false">
      <c r="A159" s="3" t="n">
        <v>158</v>
      </c>
      <c r="B159" s="4" t="s">
        <v>10</v>
      </c>
      <c r="C159" s="3" t="s">
        <v>495</v>
      </c>
      <c r="D159" s="5" t="s">
        <v>496</v>
      </c>
      <c r="E159" s="5" t="s">
        <v>535</v>
      </c>
      <c r="F159" s="9" t="s">
        <v>540</v>
      </c>
      <c r="G159" s="7" t="s">
        <v>15</v>
      </c>
      <c r="H159" s="8" t="s">
        <v>541</v>
      </c>
      <c r="I159" s="3" t="s">
        <v>53</v>
      </c>
      <c r="J159" s="5" t="s">
        <v>542</v>
      </c>
    </row>
    <row r="160" customFormat="false" ht="15" hidden="false" customHeight="false" outlineLevel="0" collapsed="false">
      <c r="A160" s="3" t="n">
        <v>159</v>
      </c>
      <c r="B160" s="4" t="s">
        <v>10</v>
      </c>
      <c r="C160" s="3" t="s">
        <v>495</v>
      </c>
      <c r="D160" s="5" t="s">
        <v>496</v>
      </c>
      <c r="E160" s="5" t="s">
        <v>535</v>
      </c>
      <c r="F160" s="9" t="s">
        <v>543</v>
      </c>
      <c r="G160" s="7" t="s">
        <v>15</v>
      </c>
      <c r="H160" s="8" t="s">
        <v>544</v>
      </c>
      <c r="I160" s="3" t="s">
        <v>53</v>
      </c>
      <c r="J160" s="5" t="s">
        <v>542</v>
      </c>
    </row>
    <row r="161" customFormat="false" ht="15" hidden="false" customHeight="false" outlineLevel="0" collapsed="false">
      <c r="A161" s="3" t="n">
        <v>160</v>
      </c>
      <c r="B161" s="4" t="s">
        <v>10</v>
      </c>
      <c r="C161" s="3" t="s">
        <v>495</v>
      </c>
      <c r="D161" s="5" t="s">
        <v>496</v>
      </c>
      <c r="E161" s="5" t="s">
        <v>535</v>
      </c>
      <c r="F161" s="9" t="s">
        <v>545</v>
      </c>
      <c r="G161" s="7" t="s">
        <v>15</v>
      </c>
      <c r="H161" s="8" t="s">
        <v>546</v>
      </c>
      <c r="I161" s="3" t="s">
        <v>53</v>
      </c>
      <c r="J161" s="10" t="s">
        <v>547</v>
      </c>
    </row>
    <row r="162" customFormat="false" ht="15" hidden="false" customHeight="false" outlineLevel="0" collapsed="false">
      <c r="A162" s="3" t="n">
        <v>161</v>
      </c>
      <c r="B162" s="4" t="s">
        <v>10</v>
      </c>
      <c r="C162" s="3" t="s">
        <v>495</v>
      </c>
      <c r="D162" s="5" t="s">
        <v>496</v>
      </c>
      <c r="E162" s="5" t="s">
        <v>535</v>
      </c>
      <c r="F162" s="6" t="s">
        <v>548</v>
      </c>
      <c r="G162" s="7" t="s">
        <v>15</v>
      </c>
      <c r="H162" s="8" t="s">
        <v>549</v>
      </c>
      <c r="I162" s="3" t="s">
        <v>25</v>
      </c>
      <c r="J162" s="5" t="s">
        <v>550</v>
      </c>
    </row>
    <row r="163" customFormat="false" ht="15" hidden="false" customHeight="false" outlineLevel="0" collapsed="false">
      <c r="A163" s="3" t="n">
        <v>162</v>
      </c>
      <c r="B163" s="4" t="s">
        <v>10</v>
      </c>
      <c r="C163" s="3" t="s">
        <v>495</v>
      </c>
      <c r="D163" s="5" t="s">
        <v>496</v>
      </c>
      <c r="E163" s="5" t="s">
        <v>535</v>
      </c>
      <c r="F163" s="9" t="s">
        <v>551</v>
      </c>
      <c r="G163" s="11" t="s">
        <v>111</v>
      </c>
      <c r="H163" s="8" t="s">
        <v>552</v>
      </c>
      <c r="I163" s="3" t="s">
        <v>53</v>
      </c>
      <c r="J163" s="5" t="s">
        <v>553</v>
      </c>
    </row>
    <row r="164" customFormat="false" ht="15" hidden="false" customHeight="false" outlineLevel="0" collapsed="false">
      <c r="A164" s="3" t="n">
        <v>163</v>
      </c>
      <c r="B164" s="4" t="s">
        <v>10</v>
      </c>
      <c r="C164" s="3" t="s">
        <v>495</v>
      </c>
      <c r="D164" s="5" t="s">
        <v>496</v>
      </c>
      <c r="E164" s="5" t="s">
        <v>554</v>
      </c>
      <c r="F164" s="9" t="s">
        <v>555</v>
      </c>
      <c r="G164" s="7" t="s">
        <v>15</v>
      </c>
      <c r="H164" s="8" t="s">
        <v>556</v>
      </c>
      <c r="I164" s="3" t="s">
        <v>57</v>
      </c>
      <c r="J164" s="10" t="s">
        <v>557</v>
      </c>
    </row>
    <row r="165" customFormat="false" ht="15" hidden="false" customHeight="false" outlineLevel="0" collapsed="false">
      <c r="A165" s="3" t="n">
        <v>164</v>
      </c>
      <c r="B165" s="4" t="s">
        <v>10</v>
      </c>
      <c r="C165" s="3" t="s">
        <v>495</v>
      </c>
      <c r="D165" s="5" t="s">
        <v>496</v>
      </c>
      <c r="E165" s="5" t="s">
        <v>554</v>
      </c>
      <c r="F165" s="9" t="s">
        <v>558</v>
      </c>
      <c r="G165" s="7" t="s">
        <v>15</v>
      </c>
      <c r="H165" s="8" t="s">
        <v>559</v>
      </c>
      <c r="I165" s="3" t="s">
        <v>57</v>
      </c>
      <c r="J165" s="10" t="s">
        <v>476</v>
      </c>
    </row>
    <row r="166" customFormat="false" ht="15" hidden="false" customHeight="false" outlineLevel="0" collapsed="false">
      <c r="A166" s="3" t="n">
        <v>165</v>
      </c>
      <c r="B166" s="4" t="s">
        <v>10</v>
      </c>
      <c r="C166" s="3" t="s">
        <v>495</v>
      </c>
      <c r="D166" s="5" t="s">
        <v>496</v>
      </c>
      <c r="E166" s="5" t="s">
        <v>554</v>
      </c>
      <c r="F166" s="9" t="s">
        <v>560</v>
      </c>
      <c r="G166" s="7" t="s">
        <v>15</v>
      </c>
      <c r="H166" s="8" t="s">
        <v>561</v>
      </c>
      <c r="I166" s="3" t="s">
        <v>142</v>
      </c>
      <c r="J166" s="5" t="s">
        <v>562</v>
      </c>
    </row>
    <row r="167" customFormat="false" ht="15" hidden="false" customHeight="false" outlineLevel="0" collapsed="false">
      <c r="A167" s="3" t="n">
        <v>166</v>
      </c>
      <c r="B167" s="4" t="s">
        <v>10</v>
      </c>
      <c r="C167" s="3" t="s">
        <v>495</v>
      </c>
      <c r="D167" s="5" t="s">
        <v>496</v>
      </c>
      <c r="E167" s="5" t="s">
        <v>554</v>
      </c>
      <c r="F167" s="6" t="s">
        <v>563</v>
      </c>
      <c r="G167" s="7" t="s">
        <v>15</v>
      </c>
      <c r="H167" s="8" t="s">
        <v>564</v>
      </c>
      <c r="I167" s="3" t="s">
        <v>57</v>
      </c>
      <c r="J167" s="10" t="s">
        <v>476</v>
      </c>
    </row>
    <row r="168" customFormat="false" ht="15" hidden="false" customHeight="false" outlineLevel="0" collapsed="false">
      <c r="A168" s="3" t="n">
        <v>167</v>
      </c>
      <c r="B168" s="4" t="s">
        <v>10</v>
      </c>
      <c r="C168" s="3" t="s">
        <v>495</v>
      </c>
      <c r="D168" s="5" t="s">
        <v>496</v>
      </c>
      <c r="E168" s="5" t="s">
        <v>554</v>
      </c>
      <c r="F168" s="9" t="s">
        <v>565</v>
      </c>
      <c r="G168" s="7" t="s">
        <v>15</v>
      </c>
      <c r="H168" s="8" t="s">
        <v>566</v>
      </c>
      <c r="I168" s="3" t="s">
        <v>29</v>
      </c>
      <c r="J168" s="10" t="s">
        <v>567</v>
      </c>
    </row>
    <row r="169" customFormat="false" ht="15" hidden="false" customHeight="false" outlineLevel="0" collapsed="false">
      <c r="A169" s="3" t="n">
        <v>168</v>
      </c>
      <c r="B169" s="4" t="s">
        <v>10</v>
      </c>
      <c r="C169" s="3" t="s">
        <v>495</v>
      </c>
      <c r="D169" s="5" t="s">
        <v>496</v>
      </c>
      <c r="E169" s="5" t="s">
        <v>554</v>
      </c>
      <c r="F169" s="9" t="s">
        <v>568</v>
      </c>
      <c r="G169" s="7" t="s">
        <v>15</v>
      </c>
      <c r="H169" s="8" t="s">
        <v>569</v>
      </c>
      <c r="I169" s="3" t="s">
        <v>125</v>
      </c>
      <c r="J169" s="5" t="s">
        <v>570</v>
      </c>
    </row>
    <row r="170" customFormat="false" ht="15" hidden="false" customHeight="false" outlineLevel="0" collapsed="false">
      <c r="A170" s="3" t="n">
        <v>169</v>
      </c>
      <c r="B170" s="4" t="s">
        <v>10</v>
      </c>
      <c r="C170" s="3" t="s">
        <v>495</v>
      </c>
      <c r="D170" s="5" t="s">
        <v>496</v>
      </c>
      <c r="E170" s="5" t="s">
        <v>571</v>
      </c>
      <c r="F170" s="9" t="s">
        <v>572</v>
      </c>
      <c r="G170" s="7" t="s">
        <v>15</v>
      </c>
      <c r="H170" s="8" t="s">
        <v>573</v>
      </c>
      <c r="I170" s="3" t="s">
        <v>125</v>
      </c>
      <c r="J170" s="5" t="s">
        <v>574</v>
      </c>
    </row>
    <row r="171" customFormat="false" ht="15" hidden="false" customHeight="false" outlineLevel="0" collapsed="false">
      <c r="A171" s="3" t="n">
        <v>170</v>
      </c>
      <c r="B171" s="4" t="s">
        <v>10</v>
      </c>
      <c r="C171" s="3" t="s">
        <v>495</v>
      </c>
      <c r="D171" s="5" t="s">
        <v>496</v>
      </c>
      <c r="E171" s="5" t="s">
        <v>571</v>
      </c>
      <c r="F171" s="9" t="s">
        <v>575</v>
      </c>
      <c r="G171" s="11" t="s">
        <v>111</v>
      </c>
      <c r="H171" s="8" t="s">
        <v>576</v>
      </c>
      <c r="I171" s="3" t="s">
        <v>53</v>
      </c>
      <c r="J171" s="5" t="s">
        <v>577</v>
      </c>
    </row>
    <row r="172" customFormat="false" ht="15" hidden="false" customHeight="false" outlineLevel="0" collapsed="false">
      <c r="A172" s="3" t="n">
        <v>171</v>
      </c>
      <c r="B172" s="4" t="s">
        <v>10</v>
      </c>
      <c r="C172" s="3" t="s">
        <v>495</v>
      </c>
      <c r="D172" s="5" t="s">
        <v>496</v>
      </c>
      <c r="E172" s="5" t="s">
        <v>571</v>
      </c>
      <c r="F172" s="9" t="s">
        <v>578</v>
      </c>
      <c r="G172" s="7" t="s">
        <v>15</v>
      </c>
      <c r="H172" s="8" t="s">
        <v>579</v>
      </c>
      <c r="I172" s="3" t="s">
        <v>80</v>
      </c>
      <c r="J172" s="5" t="s">
        <v>580</v>
      </c>
    </row>
    <row r="173" customFormat="false" ht="15" hidden="false" customHeight="false" outlineLevel="0" collapsed="false">
      <c r="A173" s="3" t="n">
        <v>172</v>
      </c>
      <c r="B173" s="4" t="s">
        <v>10</v>
      </c>
      <c r="C173" s="3" t="s">
        <v>495</v>
      </c>
      <c r="D173" s="5" t="s">
        <v>496</v>
      </c>
      <c r="E173" s="5" t="s">
        <v>571</v>
      </c>
      <c r="F173" s="9" t="s">
        <v>581</v>
      </c>
      <c r="G173" s="7" t="s">
        <v>15</v>
      </c>
      <c r="H173" s="8" t="s">
        <v>582</v>
      </c>
      <c r="I173" s="3" t="s">
        <v>108</v>
      </c>
      <c r="J173" s="5" t="s">
        <v>583</v>
      </c>
    </row>
    <row r="174" customFormat="false" ht="15" hidden="false" customHeight="false" outlineLevel="0" collapsed="false">
      <c r="A174" s="3" t="n">
        <v>173</v>
      </c>
      <c r="B174" s="4" t="s">
        <v>10</v>
      </c>
      <c r="C174" s="3" t="s">
        <v>495</v>
      </c>
      <c r="D174" s="5" t="s">
        <v>496</v>
      </c>
      <c r="E174" s="5" t="s">
        <v>571</v>
      </c>
      <c r="F174" s="9" t="s">
        <v>584</v>
      </c>
      <c r="G174" s="7" t="s">
        <v>15</v>
      </c>
      <c r="H174" s="8" t="s">
        <v>585</v>
      </c>
      <c r="I174" s="3" t="s">
        <v>142</v>
      </c>
      <c r="J174" s="5" t="s">
        <v>586</v>
      </c>
    </row>
    <row r="175" customFormat="false" ht="15" hidden="false" customHeight="false" outlineLevel="0" collapsed="false">
      <c r="A175" s="3" t="n">
        <v>174</v>
      </c>
      <c r="B175" s="4" t="s">
        <v>10</v>
      </c>
      <c r="C175" s="3" t="s">
        <v>495</v>
      </c>
      <c r="D175" s="5" t="s">
        <v>496</v>
      </c>
      <c r="E175" s="5" t="s">
        <v>571</v>
      </c>
      <c r="F175" s="9" t="s">
        <v>587</v>
      </c>
      <c r="G175" s="7" t="s">
        <v>15</v>
      </c>
      <c r="H175" s="8" t="s">
        <v>588</v>
      </c>
      <c r="I175" s="3" t="s">
        <v>108</v>
      </c>
      <c r="J175" s="5" t="s">
        <v>589</v>
      </c>
    </row>
    <row r="176" customFormat="false" ht="15" hidden="false" customHeight="false" outlineLevel="0" collapsed="false">
      <c r="A176" s="3" t="n">
        <v>175</v>
      </c>
      <c r="B176" s="4" t="s">
        <v>10</v>
      </c>
      <c r="C176" s="3" t="s">
        <v>495</v>
      </c>
      <c r="D176" s="5" t="s">
        <v>496</v>
      </c>
      <c r="E176" s="5" t="s">
        <v>590</v>
      </c>
      <c r="F176" s="9" t="s">
        <v>591</v>
      </c>
      <c r="G176" s="7" t="s">
        <v>15</v>
      </c>
      <c r="H176" s="8" t="s">
        <v>592</v>
      </c>
      <c r="I176" s="3" t="s">
        <v>17</v>
      </c>
      <c r="J176" s="5" t="s">
        <v>593</v>
      </c>
    </row>
    <row r="177" customFormat="false" ht="15" hidden="false" customHeight="false" outlineLevel="0" collapsed="false">
      <c r="A177" s="3" t="n">
        <v>176</v>
      </c>
      <c r="B177" s="4" t="s">
        <v>10</v>
      </c>
      <c r="C177" s="3" t="s">
        <v>495</v>
      </c>
      <c r="D177" s="5" t="s">
        <v>496</v>
      </c>
      <c r="E177" s="5" t="s">
        <v>590</v>
      </c>
      <c r="F177" s="9" t="s">
        <v>594</v>
      </c>
      <c r="G177" s="7" t="s">
        <v>15</v>
      </c>
      <c r="H177" s="8" t="s">
        <v>595</v>
      </c>
      <c r="I177" s="3" t="s">
        <v>142</v>
      </c>
      <c r="J177" s="5" t="s">
        <v>596</v>
      </c>
    </row>
    <row r="178" customFormat="false" ht="15" hidden="false" customHeight="false" outlineLevel="0" collapsed="false">
      <c r="A178" s="3" t="n">
        <v>177</v>
      </c>
      <c r="B178" s="4" t="s">
        <v>10</v>
      </c>
      <c r="C178" s="3" t="s">
        <v>495</v>
      </c>
      <c r="D178" s="5" t="s">
        <v>496</v>
      </c>
      <c r="E178" s="5" t="s">
        <v>590</v>
      </c>
      <c r="F178" s="9" t="s">
        <v>597</v>
      </c>
      <c r="G178" s="7" t="s">
        <v>15</v>
      </c>
      <c r="H178" s="8" t="s">
        <v>598</v>
      </c>
      <c r="I178" s="3" t="s">
        <v>25</v>
      </c>
      <c r="J178" s="5" t="s">
        <v>599</v>
      </c>
    </row>
    <row r="179" customFormat="false" ht="15" hidden="false" customHeight="false" outlineLevel="0" collapsed="false">
      <c r="A179" s="3" t="n">
        <v>178</v>
      </c>
      <c r="B179" s="4" t="s">
        <v>10</v>
      </c>
      <c r="C179" s="3" t="s">
        <v>495</v>
      </c>
      <c r="D179" s="5" t="s">
        <v>496</v>
      </c>
      <c r="E179" s="5" t="s">
        <v>590</v>
      </c>
      <c r="F179" s="6" t="s">
        <v>600</v>
      </c>
      <c r="G179" s="7" t="s">
        <v>15</v>
      </c>
      <c r="H179" s="8" t="s">
        <v>601</v>
      </c>
      <c r="I179" s="3" t="s">
        <v>17</v>
      </c>
      <c r="J179" s="5" t="s">
        <v>602</v>
      </c>
    </row>
    <row r="180" customFormat="false" ht="15" hidden="false" customHeight="false" outlineLevel="0" collapsed="false">
      <c r="A180" s="3" t="n">
        <v>179</v>
      </c>
      <c r="B180" s="4" t="s">
        <v>10</v>
      </c>
      <c r="C180" s="3" t="s">
        <v>495</v>
      </c>
      <c r="D180" s="5" t="s">
        <v>496</v>
      </c>
      <c r="E180" s="5" t="s">
        <v>590</v>
      </c>
      <c r="F180" s="9" t="s">
        <v>603</v>
      </c>
      <c r="G180" s="7" t="s">
        <v>15</v>
      </c>
      <c r="H180" s="8" t="s">
        <v>604</v>
      </c>
      <c r="I180" s="3" t="s">
        <v>142</v>
      </c>
      <c r="J180" s="5" t="s">
        <v>605</v>
      </c>
    </row>
    <row r="181" customFormat="false" ht="15" hidden="false" customHeight="false" outlineLevel="0" collapsed="false">
      <c r="A181" s="3" t="n">
        <v>180</v>
      </c>
      <c r="B181" s="4" t="s">
        <v>10</v>
      </c>
      <c r="C181" s="3" t="s">
        <v>495</v>
      </c>
      <c r="D181" s="5" t="s">
        <v>496</v>
      </c>
      <c r="E181" s="5" t="s">
        <v>590</v>
      </c>
      <c r="F181" s="9" t="s">
        <v>606</v>
      </c>
      <c r="G181" s="7" t="s">
        <v>15</v>
      </c>
      <c r="H181" s="8" t="s">
        <v>607</v>
      </c>
      <c r="I181" s="3" t="s">
        <v>21</v>
      </c>
      <c r="J181" s="5" t="s">
        <v>608</v>
      </c>
    </row>
    <row r="182" customFormat="false" ht="15" hidden="false" customHeight="false" outlineLevel="0" collapsed="false">
      <c r="A182" s="3" t="n">
        <v>181</v>
      </c>
      <c r="B182" s="4" t="s">
        <v>10</v>
      </c>
      <c r="C182" s="3" t="s">
        <v>495</v>
      </c>
      <c r="D182" s="5" t="s">
        <v>496</v>
      </c>
      <c r="E182" s="5" t="s">
        <v>609</v>
      </c>
      <c r="F182" s="9" t="s">
        <v>610</v>
      </c>
      <c r="G182" s="7" t="s">
        <v>15</v>
      </c>
      <c r="H182" s="8" t="s">
        <v>611</v>
      </c>
      <c r="I182" s="3" t="s">
        <v>29</v>
      </c>
      <c r="J182" s="10" t="s">
        <v>612</v>
      </c>
    </row>
    <row r="183" customFormat="false" ht="15" hidden="false" customHeight="false" outlineLevel="0" collapsed="false">
      <c r="A183" s="3" t="n">
        <v>182</v>
      </c>
      <c r="B183" s="4" t="s">
        <v>10</v>
      </c>
      <c r="C183" s="3" t="s">
        <v>495</v>
      </c>
      <c r="D183" s="5" t="s">
        <v>496</v>
      </c>
      <c r="E183" s="5" t="s">
        <v>609</v>
      </c>
      <c r="F183" s="9" t="s">
        <v>613</v>
      </c>
      <c r="G183" s="11" t="s">
        <v>111</v>
      </c>
      <c r="H183" s="8" t="s">
        <v>576</v>
      </c>
      <c r="I183" s="3" t="s">
        <v>53</v>
      </c>
      <c r="J183" s="5" t="s">
        <v>614</v>
      </c>
    </row>
    <row r="184" customFormat="false" ht="15" hidden="false" customHeight="false" outlineLevel="0" collapsed="false">
      <c r="A184" s="3" t="n">
        <v>183</v>
      </c>
      <c r="B184" s="4" t="s">
        <v>10</v>
      </c>
      <c r="C184" s="3" t="s">
        <v>495</v>
      </c>
      <c r="D184" s="5" t="s">
        <v>496</v>
      </c>
      <c r="E184" s="5" t="s">
        <v>609</v>
      </c>
      <c r="F184" s="9" t="s">
        <v>615</v>
      </c>
      <c r="G184" s="7" t="s">
        <v>15</v>
      </c>
      <c r="H184" s="8" t="s">
        <v>616</v>
      </c>
      <c r="I184" s="3" t="s">
        <v>57</v>
      </c>
      <c r="J184" s="10" t="s">
        <v>617</v>
      </c>
    </row>
    <row r="185" customFormat="false" ht="15" hidden="false" customHeight="false" outlineLevel="0" collapsed="false">
      <c r="A185" s="3" t="n">
        <v>184</v>
      </c>
      <c r="B185" s="4" t="s">
        <v>10</v>
      </c>
      <c r="C185" s="3" t="s">
        <v>495</v>
      </c>
      <c r="D185" s="5" t="s">
        <v>496</v>
      </c>
      <c r="E185" s="5" t="s">
        <v>609</v>
      </c>
      <c r="F185" s="9" t="s">
        <v>618</v>
      </c>
      <c r="G185" s="7" t="s">
        <v>15</v>
      </c>
      <c r="H185" s="8" t="s">
        <v>619</v>
      </c>
      <c r="I185" s="3" t="s">
        <v>80</v>
      </c>
      <c r="J185" s="5" t="s">
        <v>620</v>
      </c>
    </row>
    <row r="186" customFormat="false" ht="15" hidden="false" customHeight="false" outlineLevel="0" collapsed="false">
      <c r="A186" s="3" t="n">
        <v>185</v>
      </c>
      <c r="B186" s="4" t="s">
        <v>10</v>
      </c>
      <c r="C186" s="3" t="s">
        <v>495</v>
      </c>
      <c r="D186" s="5" t="s">
        <v>496</v>
      </c>
      <c r="E186" s="5" t="s">
        <v>609</v>
      </c>
      <c r="F186" s="9" t="s">
        <v>117</v>
      </c>
      <c r="G186" s="7" t="s">
        <v>15</v>
      </c>
      <c r="H186" s="8" t="s">
        <v>621</v>
      </c>
      <c r="I186" s="3" t="s">
        <v>80</v>
      </c>
      <c r="J186" s="5" t="s">
        <v>622</v>
      </c>
    </row>
    <row r="187" customFormat="false" ht="15" hidden="false" customHeight="false" outlineLevel="0" collapsed="false">
      <c r="A187" s="3" t="n">
        <v>186</v>
      </c>
      <c r="B187" s="4" t="s">
        <v>10</v>
      </c>
      <c r="C187" s="3" t="s">
        <v>495</v>
      </c>
      <c r="D187" s="5" t="s">
        <v>496</v>
      </c>
      <c r="E187" s="5" t="s">
        <v>609</v>
      </c>
      <c r="F187" s="9" t="s">
        <v>623</v>
      </c>
      <c r="G187" s="7" t="s">
        <v>15</v>
      </c>
      <c r="H187" s="8" t="s">
        <v>624</v>
      </c>
      <c r="I187" s="3" t="s">
        <v>57</v>
      </c>
      <c r="J187" s="10" t="s">
        <v>625</v>
      </c>
    </row>
    <row r="188" customFormat="false" ht="15" hidden="false" customHeight="false" outlineLevel="0" collapsed="false">
      <c r="A188" s="3" t="n">
        <v>187</v>
      </c>
      <c r="B188" s="4" t="s">
        <v>10</v>
      </c>
      <c r="C188" s="3" t="s">
        <v>495</v>
      </c>
      <c r="D188" s="5" t="s">
        <v>496</v>
      </c>
      <c r="E188" s="5" t="s">
        <v>626</v>
      </c>
      <c r="F188" s="9" t="s">
        <v>627</v>
      </c>
      <c r="G188" s="11" t="s">
        <v>111</v>
      </c>
      <c r="H188" s="8" t="s">
        <v>628</v>
      </c>
      <c r="I188" s="3" t="s">
        <v>331</v>
      </c>
      <c r="J188" s="5" t="s">
        <v>629</v>
      </c>
    </row>
    <row r="189" customFormat="false" ht="15" hidden="false" customHeight="false" outlineLevel="0" collapsed="false">
      <c r="A189" s="3" t="n">
        <v>188</v>
      </c>
      <c r="B189" s="4" t="s">
        <v>10</v>
      </c>
      <c r="C189" s="3" t="s">
        <v>495</v>
      </c>
      <c r="D189" s="5" t="s">
        <v>496</v>
      </c>
      <c r="E189" s="5" t="s">
        <v>626</v>
      </c>
      <c r="F189" s="9" t="s">
        <v>630</v>
      </c>
      <c r="G189" s="11" t="s">
        <v>111</v>
      </c>
      <c r="H189" s="8" t="s">
        <v>631</v>
      </c>
      <c r="I189" s="3" t="s">
        <v>53</v>
      </c>
      <c r="J189" s="5" t="s">
        <v>632</v>
      </c>
    </row>
    <row r="190" customFormat="false" ht="15" hidden="false" customHeight="false" outlineLevel="0" collapsed="false">
      <c r="A190" s="3" t="n">
        <v>189</v>
      </c>
      <c r="B190" s="4" t="s">
        <v>10</v>
      </c>
      <c r="C190" s="3" t="s">
        <v>495</v>
      </c>
      <c r="D190" s="5" t="s">
        <v>496</v>
      </c>
      <c r="E190" s="5" t="s">
        <v>626</v>
      </c>
      <c r="F190" s="9" t="s">
        <v>633</v>
      </c>
      <c r="G190" s="11" t="s">
        <v>111</v>
      </c>
      <c r="H190" s="8" t="s">
        <v>634</v>
      </c>
      <c r="I190" s="3" t="s">
        <v>331</v>
      </c>
      <c r="J190" s="5" t="s">
        <v>635</v>
      </c>
    </row>
    <row r="191" customFormat="false" ht="15" hidden="false" customHeight="false" outlineLevel="0" collapsed="false">
      <c r="A191" s="3" t="n">
        <v>190</v>
      </c>
      <c r="B191" s="4" t="s">
        <v>10</v>
      </c>
      <c r="C191" s="3" t="s">
        <v>495</v>
      </c>
      <c r="D191" s="5" t="s">
        <v>496</v>
      </c>
      <c r="E191" s="5" t="s">
        <v>626</v>
      </c>
      <c r="F191" s="9" t="s">
        <v>636</v>
      </c>
      <c r="G191" s="7" t="s">
        <v>15</v>
      </c>
      <c r="H191" s="8" t="s">
        <v>637</v>
      </c>
      <c r="I191" s="3" t="s">
        <v>57</v>
      </c>
      <c r="J191" s="10" t="s">
        <v>638</v>
      </c>
    </row>
    <row r="192" customFormat="false" ht="15" hidden="false" customHeight="false" outlineLevel="0" collapsed="false">
      <c r="A192" s="3" t="n">
        <v>191</v>
      </c>
      <c r="B192" s="4" t="s">
        <v>10</v>
      </c>
      <c r="C192" s="3" t="s">
        <v>495</v>
      </c>
      <c r="D192" s="5" t="s">
        <v>496</v>
      </c>
      <c r="E192" s="5" t="s">
        <v>626</v>
      </c>
      <c r="F192" s="9" t="s">
        <v>639</v>
      </c>
      <c r="G192" s="12" t="s">
        <v>168</v>
      </c>
      <c r="H192" s="13" t="s">
        <v>169</v>
      </c>
      <c r="I192" s="3" t="s">
        <v>169</v>
      </c>
      <c r="J192" s="5" t="s">
        <v>640</v>
      </c>
    </row>
    <row r="193" customFormat="false" ht="15" hidden="false" customHeight="false" outlineLevel="0" collapsed="false">
      <c r="A193" s="3" t="n">
        <v>192</v>
      </c>
      <c r="B193" s="4" t="s">
        <v>10</v>
      </c>
      <c r="C193" s="3" t="s">
        <v>495</v>
      </c>
      <c r="D193" s="5" t="s">
        <v>496</v>
      </c>
      <c r="E193" s="5" t="s">
        <v>626</v>
      </c>
      <c r="F193" s="9" t="s">
        <v>641</v>
      </c>
      <c r="G193" s="7" t="s">
        <v>15</v>
      </c>
      <c r="H193" s="8" t="s">
        <v>642</v>
      </c>
      <c r="I193" s="3" t="s">
        <v>29</v>
      </c>
      <c r="J193" s="10" t="s">
        <v>643</v>
      </c>
    </row>
    <row r="194" customFormat="false" ht="15" hidden="false" customHeight="false" outlineLevel="0" collapsed="false">
      <c r="A194" s="3" t="n">
        <v>193</v>
      </c>
      <c r="B194" s="4" t="s">
        <v>10</v>
      </c>
      <c r="C194" s="3" t="s">
        <v>644</v>
      </c>
      <c r="D194" s="5" t="s">
        <v>645</v>
      </c>
      <c r="E194" s="5" t="s">
        <v>646</v>
      </c>
      <c r="F194" s="9" t="s">
        <v>647</v>
      </c>
      <c r="G194" s="7" t="s">
        <v>15</v>
      </c>
      <c r="H194" s="8" t="s">
        <v>648</v>
      </c>
      <c r="I194" s="3" t="s">
        <v>21</v>
      </c>
      <c r="J194" s="10" t="s">
        <v>649</v>
      </c>
    </row>
    <row r="195" customFormat="false" ht="15" hidden="false" customHeight="false" outlineLevel="0" collapsed="false">
      <c r="A195" s="3" t="n">
        <v>194</v>
      </c>
      <c r="B195" s="4" t="s">
        <v>10</v>
      </c>
      <c r="C195" s="3" t="s">
        <v>644</v>
      </c>
      <c r="D195" s="5" t="s">
        <v>645</v>
      </c>
      <c r="E195" s="5" t="s">
        <v>646</v>
      </c>
      <c r="F195" s="9" t="s">
        <v>650</v>
      </c>
      <c r="G195" s="7" t="s">
        <v>15</v>
      </c>
      <c r="H195" s="8" t="s">
        <v>651</v>
      </c>
      <c r="I195" s="3" t="s">
        <v>652</v>
      </c>
      <c r="J195" s="5" t="s">
        <v>653</v>
      </c>
    </row>
    <row r="196" customFormat="false" ht="15" hidden="false" customHeight="false" outlineLevel="0" collapsed="false">
      <c r="A196" s="3" t="n">
        <v>195</v>
      </c>
      <c r="B196" s="4" t="s">
        <v>10</v>
      </c>
      <c r="C196" s="3" t="s">
        <v>644</v>
      </c>
      <c r="D196" s="5" t="s">
        <v>645</v>
      </c>
      <c r="E196" s="5" t="s">
        <v>646</v>
      </c>
      <c r="F196" s="9" t="s">
        <v>654</v>
      </c>
      <c r="G196" s="7" t="s">
        <v>15</v>
      </c>
      <c r="H196" s="8" t="s">
        <v>655</v>
      </c>
      <c r="I196" s="3" t="s">
        <v>652</v>
      </c>
      <c r="J196" s="5" t="s">
        <v>656</v>
      </c>
    </row>
    <row r="197" customFormat="false" ht="15" hidden="false" customHeight="false" outlineLevel="0" collapsed="false">
      <c r="A197" s="3" t="n">
        <v>196</v>
      </c>
      <c r="B197" s="4" t="s">
        <v>10</v>
      </c>
      <c r="C197" s="3" t="s">
        <v>644</v>
      </c>
      <c r="D197" s="5" t="s">
        <v>645</v>
      </c>
      <c r="E197" s="5" t="s">
        <v>646</v>
      </c>
      <c r="F197" s="9" t="s">
        <v>657</v>
      </c>
      <c r="G197" s="7" t="s">
        <v>15</v>
      </c>
      <c r="H197" s="8" t="s">
        <v>658</v>
      </c>
      <c r="I197" s="3" t="s">
        <v>21</v>
      </c>
      <c r="J197" s="5" t="s">
        <v>659</v>
      </c>
    </row>
    <row r="198" customFormat="false" ht="15" hidden="false" customHeight="false" outlineLevel="0" collapsed="false">
      <c r="A198" s="3" t="n">
        <v>197</v>
      </c>
      <c r="B198" s="4" t="s">
        <v>10</v>
      </c>
      <c r="C198" s="3" t="s">
        <v>644</v>
      </c>
      <c r="D198" s="5" t="s">
        <v>645</v>
      </c>
      <c r="E198" s="5" t="s">
        <v>646</v>
      </c>
      <c r="F198" s="9" t="s">
        <v>660</v>
      </c>
      <c r="G198" s="7" t="s">
        <v>15</v>
      </c>
      <c r="H198" s="8" t="s">
        <v>661</v>
      </c>
      <c r="I198" s="3" t="s">
        <v>65</v>
      </c>
      <c r="J198" s="5" t="s">
        <v>662</v>
      </c>
    </row>
    <row r="199" customFormat="false" ht="15" hidden="false" customHeight="false" outlineLevel="0" collapsed="false">
      <c r="A199" s="3" t="n">
        <v>198</v>
      </c>
      <c r="B199" s="4" t="s">
        <v>10</v>
      </c>
      <c r="C199" s="3" t="s">
        <v>644</v>
      </c>
      <c r="D199" s="5" t="s">
        <v>645</v>
      </c>
      <c r="E199" s="5" t="s">
        <v>646</v>
      </c>
      <c r="F199" s="9" t="s">
        <v>663</v>
      </c>
      <c r="G199" s="11" t="s">
        <v>111</v>
      </c>
      <c r="H199" s="8" t="s">
        <v>664</v>
      </c>
      <c r="I199" s="3" t="s">
        <v>57</v>
      </c>
      <c r="J199" s="5" t="s">
        <v>665</v>
      </c>
    </row>
    <row r="200" customFormat="false" ht="15" hidden="false" customHeight="false" outlineLevel="0" collapsed="false">
      <c r="A200" s="3" t="n">
        <v>199</v>
      </c>
      <c r="B200" s="4" t="s">
        <v>10</v>
      </c>
      <c r="C200" s="3" t="s">
        <v>644</v>
      </c>
      <c r="D200" s="5" t="s">
        <v>645</v>
      </c>
      <c r="E200" s="5" t="s">
        <v>666</v>
      </c>
      <c r="F200" s="9" t="s">
        <v>667</v>
      </c>
      <c r="G200" s="7" t="s">
        <v>15</v>
      </c>
      <c r="H200" s="8" t="s">
        <v>668</v>
      </c>
      <c r="I200" s="3" t="s">
        <v>29</v>
      </c>
      <c r="J200" s="10" t="s">
        <v>669</v>
      </c>
    </row>
    <row r="201" customFormat="false" ht="15" hidden="false" customHeight="false" outlineLevel="0" collapsed="false">
      <c r="A201" s="3" t="n">
        <v>200</v>
      </c>
      <c r="B201" s="4" t="s">
        <v>10</v>
      </c>
      <c r="C201" s="3" t="s">
        <v>644</v>
      </c>
      <c r="D201" s="5" t="s">
        <v>645</v>
      </c>
      <c r="E201" s="5" t="s">
        <v>666</v>
      </c>
      <c r="F201" s="9" t="s">
        <v>670</v>
      </c>
      <c r="G201" s="7" t="s">
        <v>15</v>
      </c>
      <c r="H201" s="8" t="s">
        <v>671</v>
      </c>
      <c r="I201" s="3" t="s">
        <v>80</v>
      </c>
      <c r="J201" s="5" t="s">
        <v>672</v>
      </c>
    </row>
    <row r="202" customFormat="false" ht="15" hidden="false" customHeight="false" outlineLevel="0" collapsed="false">
      <c r="A202" s="3" t="n">
        <v>201</v>
      </c>
      <c r="B202" s="4" t="s">
        <v>10</v>
      </c>
      <c r="C202" s="3" t="s">
        <v>644</v>
      </c>
      <c r="D202" s="5" t="s">
        <v>645</v>
      </c>
      <c r="E202" s="5" t="s">
        <v>666</v>
      </c>
      <c r="F202" s="9" t="s">
        <v>673</v>
      </c>
      <c r="G202" s="7" t="s">
        <v>15</v>
      </c>
      <c r="H202" s="8" t="s">
        <v>674</v>
      </c>
      <c r="I202" s="3" t="s">
        <v>57</v>
      </c>
      <c r="J202" s="10" t="s">
        <v>675</v>
      </c>
    </row>
    <row r="203" customFormat="false" ht="15" hidden="false" customHeight="false" outlineLevel="0" collapsed="false">
      <c r="A203" s="3" t="n">
        <v>202</v>
      </c>
      <c r="B203" s="4" t="s">
        <v>10</v>
      </c>
      <c r="C203" s="3" t="s">
        <v>644</v>
      </c>
      <c r="D203" s="5" t="s">
        <v>645</v>
      </c>
      <c r="E203" s="5" t="s">
        <v>666</v>
      </c>
      <c r="F203" s="9" t="s">
        <v>676</v>
      </c>
      <c r="G203" s="7" t="s">
        <v>15</v>
      </c>
      <c r="H203" s="8" t="s">
        <v>677</v>
      </c>
      <c r="I203" s="3" t="s">
        <v>76</v>
      </c>
      <c r="J203" s="5" t="s">
        <v>678</v>
      </c>
    </row>
    <row r="204" customFormat="false" ht="15" hidden="false" customHeight="false" outlineLevel="0" collapsed="false">
      <c r="A204" s="3" t="n">
        <v>203</v>
      </c>
      <c r="B204" s="4" t="s">
        <v>10</v>
      </c>
      <c r="C204" s="3" t="s">
        <v>644</v>
      </c>
      <c r="D204" s="5" t="s">
        <v>645</v>
      </c>
      <c r="E204" s="5" t="s">
        <v>666</v>
      </c>
      <c r="F204" s="9" t="s">
        <v>679</v>
      </c>
      <c r="G204" s="7" t="s">
        <v>15</v>
      </c>
      <c r="H204" s="8" t="s">
        <v>680</v>
      </c>
      <c r="I204" s="3" t="s">
        <v>681</v>
      </c>
      <c r="J204" s="10" t="s">
        <v>682</v>
      </c>
    </row>
    <row r="205" customFormat="false" ht="15" hidden="false" customHeight="false" outlineLevel="0" collapsed="false">
      <c r="A205" s="3" t="n">
        <v>204</v>
      </c>
      <c r="B205" s="4" t="s">
        <v>10</v>
      </c>
      <c r="C205" s="3" t="s">
        <v>644</v>
      </c>
      <c r="D205" s="5" t="s">
        <v>645</v>
      </c>
      <c r="E205" s="5" t="s">
        <v>666</v>
      </c>
      <c r="F205" s="6" t="s">
        <v>683</v>
      </c>
      <c r="G205" s="7" t="s">
        <v>15</v>
      </c>
      <c r="H205" s="8" t="s">
        <v>684</v>
      </c>
      <c r="I205" s="3" t="s">
        <v>25</v>
      </c>
      <c r="J205" s="5" t="s">
        <v>685</v>
      </c>
    </row>
    <row r="206" customFormat="false" ht="15" hidden="false" customHeight="false" outlineLevel="0" collapsed="false">
      <c r="A206" s="3" t="n">
        <v>205</v>
      </c>
      <c r="B206" s="4" t="s">
        <v>10</v>
      </c>
      <c r="C206" s="3" t="s">
        <v>644</v>
      </c>
      <c r="D206" s="5" t="s">
        <v>645</v>
      </c>
      <c r="E206" s="5" t="s">
        <v>686</v>
      </c>
      <c r="F206" s="9" t="s">
        <v>687</v>
      </c>
      <c r="G206" s="7" t="s">
        <v>15</v>
      </c>
      <c r="H206" s="8" t="s">
        <v>688</v>
      </c>
      <c r="I206" s="3" t="s">
        <v>689</v>
      </c>
      <c r="J206" s="5" t="s">
        <v>690</v>
      </c>
    </row>
    <row r="207" customFormat="false" ht="15" hidden="false" customHeight="false" outlineLevel="0" collapsed="false">
      <c r="A207" s="3" t="n">
        <v>206</v>
      </c>
      <c r="B207" s="4" t="s">
        <v>10</v>
      </c>
      <c r="C207" s="3" t="s">
        <v>644</v>
      </c>
      <c r="D207" s="5" t="s">
        <v>645</v>
      </c>
      <c r="E207" s="5" t="s">
        <v>686</v>
      </c>
      <c r="F207" s="9" t="s">
        <v>691</v>
      </c>
      <c r="G207" s="11" t="s">
        <v>111</v>
      </c>
      <c r="H207" s="8" t="s">
        <v>692</v>
      </c>
      <c r="I207" s="3" t="s">
        <v>57</v>
      </c>
      <c r="J207" s="5" t="s">
        <v>693</v>
      </c>
    </row>
    <row r="208" customFormat="false" ht="15" hidden="false" customHeight="false" outlineLevel="0" collapsed="false">
      <c r="A208" s="3" t="n">
        <v>207</v>
      </c>
      <c r="B208" s="4" t="s">
        <v>10</v>
      </c>
      <c r="C208" s="3" t="s">
        <v>644</v>
      </c>
      <c r="D208" s="5" t="s">
        <v>645</v>
      </c>
      <c r="E208" s="5" t="s">
        <v>686</v>
      </c>
      <c r="F208" s="9" t="s">
        <v>694</v>
      </c>
      <c r="G208" s="7" t="s">
        <v>15</v>
      </c>
      <c r="H208" s="8" t="s">
        <v>695</v>
      </c>
      <c r="I208" s="3" t="s">
        <v>689</v>
      </c>
      <c r="J208" s="5" t="s">
        <v>696</v>
      </c>
    </row>
    <row r="209" customFormat="false" ht="15" hidden="false" customHeight="false" outlineLevel="0" collapsed="false">
      <c r="A209" s="3" t="n">
        <v>208</v>
      </c>
      <c r="B209" s="4" t="s">
        <v>10</v>
      </c>
      <c r="C209" s="3" t="s">
        <v>644</v>
      </c>
      <c r="D209" s="5" t="s">
        <v>645</v>
      </c>
      <c r="E209" s="5" t="s">
        <v>686</v>
      </c>
      <c r="F209" s="9" t="s">
        <v>442</v>
      </c>
      <c r="G209" s="7" t="s">
        <v>15</v>
      </c>
      <c r="H209" s="8" t="s">
        <v>443</v>
      </c>
      <c r="I209" s="3" t="s">
        <v>142</v>
      </c>
      <c r="J209" s="5" t="s">
        <v>697</v>
      </c>
    </row>
    <row r="210" customFormat="false" ht="15" hidden="false" customHeight="false" outlineLevel="0" collapsed="false">
      <c r="A210" s="3" t="n">
        <v>209</v>
      </c>
      <c r="B210" s="4" t="s">
        <v>10</v>
      </c>
      <c r="C210" s="3" t="s">
        <v>644</v>
      </c>
      <c r="D210" s="5" t="s">
        <v>645</v>
      </c>
      <c r="E210" s="5" t="s">
        <v>686</v>
      </c>
      <c r="F210" s="9" t="s">
        <v>698</v>
      </c>
      <c r="G210" s="7" t="s">
        <v>15</v>
      </c>
      <c r="H210" s="8" t="s">
        <v>699</v>
      </c>
      <c r="I210" s="3" t="s">
        <v>142</v>
      </c>
      <c r="J210" s="5" t="s">
        <v>700</v>
      </c>
    </row>
    <row r="211" customFormat="false" ht="15" hidden="false" customHeight="false" outlineLevel="0" collapsed="false">
      <c r="A211" s="3" t="n">
        <v>210</v>
      </c>
      <c r="B211" s="4" t="s">
        <v>10</v>
      </c>
      <c r="C211" s="3" t="s">
        <v>644</v>
      </c>
      <c r="D211" s="5" t="s">
        <v>645</v>
      </c>
      <c r="E211" s="5" t="s">
        <v>686</v>
      </c>
      <c r="F211" s="9" t="s">
        <v>701</v>
      </c>
      <c r="G211" s="7" t="s">
        <v>15</v>
      </c>
      <c r="H211" s="8" t="s">
        <v>702</v>
      </c>
      <c r="I211" s="3" t="s">
        <v>57</v>
      </c>
      <c r="J211" s="10" t="s">
        <v>703</v>
      </c>
    </row>
    <row r="212" customFormat="false" ht="15" hidden="false" customHeight="false" outlineLevel="0" collapsed="false">
      <c r="A212" s="3" t="n">
        <v>211</v>
      </c>
      <c r="B212" s="4" t="s">
        <v>10</v>
      </c>
      <c r="C212" s="3" t="s">
        <v>644</v>
      </c>
      <c r="D212" s="5" t="s">
        <v>645</v>
      </c>
      <c r="E212" s="5" t="s">
        <v>704</v>
      </c>
      <c r="F212" s="9" t="s">
        <v>705</v>
      </c>
      <c r="G212" s="7" t="s">
        <v>15</v>
      </c>
      <c r="H212" s="8" t="s">
        <v>706</v>
      </c>
      <c r="I212" s="3" t="s">
        <v>29</v>
      </c>
      <c r="J212" s="10" t="s">
        <v>707</v>
      </c>
    </row>
    <row r="213" customFormat="false" ht="15" hidden="false" customHeight="false" outlineLevel="0" collapsed="false">
      <c r="A213" s="3" t="n">
        <v>212</v>
      </c>
      <c r="B213" s="4" t="s">
        <v>10</v>
      </c>
      <c r="C213" s="3" t="s">
        <v>644</v>
      </c>
      <c r="D213" s="5" t="s">
        <v>645</v>
      </c>
      <c r="E213" s="5" t="s">
        <v>704</v>
      </c>
      <c r="F213" s="9" t="s">
        <v>708</v>
      </c>
      <c r="G213" s="7" t="s">
        <v>15</v>
      </c>
      <c r="H213" s="8" t="s">
        <v>709</v>
      </c>
      <c r="I213" s="3" t="s">
        <v>29</v>
      </c>
      <c r="J213" s="10" t="s">
        <v>710</v>
      </c>
    </row>
    <row r="214" customFormat="false" ht="15" hidden="false" customHeight="false" outlineLevel="0" collapsed="false">
      <c r="A214" s="3" t="n">
        <v>213</v>
      </c>
      <c r="B214" s="4" t="s">
        <v>10</v>
      </c>
      <c r="C214" s="3" t="s">
        <v>644</v>
      </c>
      <c r="D214" s="5" t="s">
        <v>645</v>
      </c>
      <c r="E214" s="5" t="s">
        <v>704</v>
      </c>
      <c r="F214" s="9" t="s">
        <v>711</v>
      </c>
      <c r="G214" s="7" t="s">
        <v>15</v>
      </c>
      <c r="H214" s="8" t="s">
        <v>712</v>
      </c>
      <c r="I214" s="3" t="s">
        <v>53</v>
      </c>
      <c r="J214" s="10" t="s">
        <v>713</v>
      </c>
    </row>
    <row r="215" customFormat="false" ht="15" hidden="false" customHeight="false" outlineLevel="0" collapsed="false">
      <c r="A215" s="3" t="n">
        <v>214</v>
      </c>
      <c r="B215" s="4" t="s">
        <v>10</v>
      </c>
      <c r="C215" s="3" t="s">
        <v>644</v>
      </c>
      <c r="D215" s="5" t="s">
        <v>645</v>
      </c>
      <c r="E215" s="5" t="s">
        <v>704</v>
      </c>
      <c r="F215" s="9" t="s">
        <v>714</v>
      </c>
      <c r="G215" s="7" t="s">
        <v>15</v>
      </c>
      <c r="H215" s="8" t="s">
        <v>715</v>
      </c>
      <c r="I215" s="3" t="s">
        <v>57</v>
      </c>
      <c r="J215" s="10" t="s">
        <v>716</v>
      </c>
    </row>
    <row r="216" customFormat="false" ht="15" hidden="false" customHeight="false" outlineLevel="0" collapsed="false">
      <c r="A216" s="3" t="n">
        <v>215</v>
      </c>
      <c r="B216" s="4" t="s">
        <v>10</v>
      </c>
      <c r="C216" s="3" t="s">
        <v>644</v>
      </c>
      <c r="D216" s="5" t="s">
        <v>645</v>
      </c>
      <c r="E216" s="5" t="s">
        <v>704</v>
      </c>
      <c r="F216" s="9" t="s">
        <v>717</v>
      </c>
      <c r="G216" s="7" t="s">
        <v>15</v>
      </c>
      <c r="H216" s="8" t="s">
        <v>718</v>
      </c>
      <c r="I216" s="3" t="s">
        <v>57</v>
      </c>
      <c r="J216" s="10" t="s">
        <v>719</v>
      </c>
    </row>
    <row r="217" customFormat="false" ht="15" hidden="false" customHeight="false" outlineLevel="0" collapsed="false">
      <c r="A217" s="3" t="n">
        <v>216</v>
      </c>
      <c r="B217" s="4" t="s">
        <v>10</v>
      </c>
      <c r="C217" s="3" t="s">
        <v>644</v>
      </c>
      <c r="D217" s="5" t="s">
        <v>645</v>
      </c>
      <c r="E217" s="5" t="s">
        <v>704</v>
      </c>
      <c r="F217" s="9" t="s">
        <v>720</v>
      </c>
      <c r="G217" s="7" t="s">
        <v>15</v>
      </c>
      <c r="H217" s="8" t="s">
        <v>721</v>
      </c>
      <c r="I217" s="3" t="s">
        <v>363</v>
      </c>
      <c r="J217" s="5" t="s">
        <v>722</v>
      </c>
    </row>
    <row r="218" customFormat="false" ht="15" hidden="false" customHeight="false" outlineLevel="0" collapsed="false">
      <c r="A218" s="3" t="n">
        <v>217</v>
      </c>
      <c r="B218" s="4" t="s">
        <v>10</v>
      </c>
      <c r="C218" s="3" t="s">
        <v>644</v>
      </c>
      <c r="D218" s="5" t="s">
        <v>645</v>
      </c>
      <c r="E218" s="5" t="s">
        <v>723</v>
      </c>
      <c r="F218" s="9" t="s">
        <v>724</v>
      </c>
      <c r="G218" s="7" t="s">
        <v>15</v>
      </c>
      <c r="H218" s="8" t="s">
        <v>725</v>
      </c>
      <c r="I218" s="3" t="s">
        <v>21</v>
      </c>
      <c r="J218" s="5" t="s">
        <v>726</v>
      </c>
    </row>
    <row r="219" customFormat="false" ht="15" hidden="false" customHeight="false" outlineLevel="0" collapsed="false">
      <c r="A219" s="3" t="n">
        <v>218</v>
      </c>
      <c r="B219" s="4" t="s">
        <v>10</v>
      </c>
      <c r="C219" s="3" t="s">
        <v>644</v>
      </c>
      <c r="D219" s="5" t="s">
        <v>645</v>
      </c>
      <c r="E219" s="5" t="s">
        <v>723</v>
      </c>
      <c r="F219" s="9" t="s">
        <v>727</v>
      </c>
      <c r="G219" s="7" t="s">
        <v>15</v>
      </c>
      <c r="H219" s="8" t="s">
        <v>728</v>
      </c>
      <c r="I219" s="3" t="s">
        <v>65</v>
      </c>
      <c r="J219" s="5" t="s">
        <v>729</v>
      </c>
    </row>
    <row r="220" customFormat="false" ht="15" hidden="false" customHeight="false" outlineLevel="0" collapsed="false">
      <c r="A220" s="3" t="n">
        <v>219</v>
      </c>
      <c r="B220" s="4" t="s">
        <v>10</v>
      </c>
      <c r="C220" s="3" t="s">
        <v>644</v>
      </c>
      <c r="D220" s="5" t="s">
        <v>645</v>
      </c>
      <c r="E220" s="5" t="s">
        <v>723</v>
      </c>
      <c r="F220" s="9" t="s">
        <v>730</v>
      </c>
      <c r="G220" s="11" t="s">
        <v>111</v>
      </c>
      <c r="H220" s="8" t="s">
        <v>731</v>
      </c>
      <c r="I220" s="3" t="s">
        <v>25</v>
      </c>
      <c r="J220" s="5" t="s">
        <v>732</v>
      </c>
    </row>
    <row r="221" customFormat="false" ht="15" hidden="false" customHeight="false" outlineLevel="0" collapsed="false">
      <c r="A221" s="3" t="n">
        <v>220</v>
      </c>
      <c r="B221" s="4" t="s">
        <v>10</v>
      </c>
      <c r="C221" s="3" t="s">
        <v>644</v>
      </c>
      <c r="D221" s="5" t="s">
        <v>645</v>
      </c>
      <c r="E221" s="5" t="s">
        <v>723</v>
      </c>
      <c r="F221" s="9" t="s">
        <v>733</v>
      </c>
      <c r="G221" s="7" t="s">
        <v>15</v>
      </c>
      <c r="H221" s="8" t="s">
        <v>734</v>
      </c>
      <c r="I221" s="3" t="s">
        <v>57</v>
      </c>
      <c r="J221" s="10" t="s">
        <v>735</v>
      </c>
    </row>
    <row r="222" customFormat="false" ht="15" hidden="false" customHeight="false" outlineLevel="0" collapsed="false">
      <c r="A222" s="3" t="n">
        <v>221</v>
      </c>
      <c r="B222" s="4" t="s">
        <v>10</v>
      </c>
      <c r="C222" s="3" t="s">
        <v>644</v>
      </c>
      <c r="D222" s="5" t="s">
        <v>645</v>
      </c>
      <c r="E222" s="5" t="s">
        <v>723</v>
      </c>
      <c r="F222" s="9" t="s">
        <v>736</v>
      </c>
      <c r="G222" s="7" t="s">
        <v>15</v>
      </c>
      <c r="H222" s="8" t="s">
        <v>737</v>
      </c>
      <c r="I222" s="3" t="s">
        <v>29</v>
      </c>
      <c r="J222" s="5" t="s">
        <v>738</v>
      </c>
    </row>
    <row r="223" customFormat="false" ht="15" hidden="false" customHeight="false" outlineLevel="0" collapsed="false">
      <c r="A223" s="3" t="n">
        <v>222</v>
      </c>
      <c r="B223" s="4" t="s">
        <v>10</v>
      </c>
      <c r="C223" s="3" t="s">
        <v>644</v>
      </c>
      <c r="D223" s="5" t="s">
        <v>645</v>
      </c>
      <c r="E223" s="5" t="s">
        <v>723</v>
      </c>
      <c r="F223" s="9" t="s">
        <v>739</v>
      </c>
      <c r="G223" s="7" t="s">
        <v>15</v>
      </c>
      <c r="H223" s="8" t="s">
        <v>740</v>
      </c>
      <c r="I223" s="3" t="s">
        <v>29</v>
      </c>
      <c r="J223" s="5" t="s">
        <v>741</v>
      </c>
    </row>
    <row r="224" customFormat="false" ht="15" hidden="false" customHeight="false" outlineLevel="0" collapsed="false">
      <c r="A224" s="3" t="n">
        <v>223</v>
      </c>
      <c r="B224" s="4" t="s">
        <v>10</v>
      </c>
      <c r="C224" s="3" t="s">
        <v>644</v>
      </c>
      <c r="D224" s="5" t="s">
        <v>645</v>
      </c>
      <c r="E224" s="5" t="s">
        <v>742</v>
      </c>
      <c r="F224" s="9" t="s">
        <v>743</v>
      </c>
      <c r="G224" s="7" t="s">
        <v>15</v>
      </c>
      <c r="H224" s="8" t="s">
        <v>744</v>
      </c>
      <c r="I224" s="3" t="s">
        <v>45</v>
      </c>
      <c r="J224" s="10" t="s">
        <v>745</v>
      </c>
    </row>
    <row r="225" customFormat="false" ht="15" hidden="false" customHeight="false" outlineLevel="0" collapsed="false">
      <c r="A225" s="3" t="n">
        <v>224</v>
      </c>
      <c r="B225" s="4" t="s">
        <v>10</v>
      </c>
      <c r="C225" s="3" t="s">
        <v>644</v>
      </c>
      <c r="D225" s="5" t="s">
        <v>645</v>
      </c>
      <c r="E225" s="5" t="s">
        <v>742</v>
      </c>
      <c r="F225" s="9" t="s">
        <v>746</v>
      </c>
      <c r="G225" s="7" t="s">
        <v>15</v>
      </c>
      <c r="H225" s="8" t="s">
        <v>747</v>
      </c>
      <c r="I225" s="3" t="s">
        <v>80</v>
      </c>
      <c r="J225" s="5" t="s">
        <v>748</v>
      </c>
    </row>
    <row r="226" customFormat="false" ht="15" hidden="false" customHeight="false" outlineLevel="0" collapsed="false">
      <c r="A226" s="3" t="n">
        <v>225</v>
      </c>
      <c r="B226" s="4" t="s">
        <v>10</v>
      </c>
      <c r="C226" s="3" t="s">
        <v>644</v>
      </c>
      <c r="D226" s="5" t="s">
        <v>645</v>
      </c>
      <c r="E226" s="5" t="s">
        <v>742</v>
      </c>
      <c r="F226" s="9" t="s">
        <v>749</v>
      </c>
      <c r="G226" s="7" t="s">
        <v>15</v>
      </c>
      <c r="H226" s="8" t="s">
        <v>750</v>
      </c>
      <c r="I226" s="3" t="s">
        <v>25</v>
      </c>
      <c r="J226" s="5" t="s">
        <v>751</v>
      </c>
    </row>
    <row r="227" customFormat="false" ht="15" hidden="false" customHeight="false" outlineLevel="0" collapsed="false">
      <c r="A227" s="3" t="n">
        <v>226</v>
      </c>
      <c r="B227" s="4" t="s">
        <v>10</v>
      </c>
      <c r="C227" s="3" t="s">
        <v>644</v>
      </c>
      <c r="D227" s="5" t="s">
        <v>645</v>
      </c>
      <c r="E227" s="5" t="s">
        <v>742</v>
      </c>
      <c r="F227" s="9" t="s">
        <v>752</v>
      </c>
      <c r="G227" s="7" t="s">
        <v>15</v>
      </c>
      <c r="H227" s="8" t="s">
        <v>753</v>
      </c>
      <c r="I227" s="3" t="s">
        <v>57</v>
      </c>
      <c r="J227" s="10" t="s">
        <v>754</v>
      </c>
    </row>
    <row r="228" customFormat="false" ht="15" hidden="false" customHeight="false" outlineLevel="0" collapsed="false">
      <c r="A228" s="3" t="n">
        <v>227</v>
      </c>
      <c r="B228" s="4" t="s">
        <v>10</v>
      </c>
      <c r="C228" s="3" t="s">
        <v>644</v>
      </c>
      <c r="D228" s="5" t="s">
        <v>645</v>
      </c>
      <c r="E228" s="5" t="s">
        <v>742</v>
      </c>
      <c r="F228" s="9" t="s">
        <v>755</v>
      </c>
      <c r="G228" s="7" t="s">
        <v>15</v>
      </c>
      <c r="H228" s="8" t="s">
        <v>756</v>
      </c>
      <c r="I228" s="3" t="s">
        <v>29</v>
      </c>
      <c r="J228" s="10" t="s">
        <v>757</v>
      </c>
    </row>
    <row r="229" customFormat="false" ht="15" hidden="false" customHeight="false" outlineLevel="0" collapsed="false">
      <c r="A229" s="3" t="n">
        <v>228</v>
      </c>
      <c r="B229" s="4" t="s">
        <v>10</v>
      </c>
      <c r="C229" s="3" t="s">
        <v>644</v>
      </c>
      <c r="D229" s="5" t="s">
        <v>645</v>
      </c>
      <c r="E229" s="5" t="s">
        <v>742</v>
      </c>
      <c r="F229" s="9" t="s">
        <v>758</v>
      </c>
      <c r="G229" s="7" t="s">
        <v>15</v>
      </c>
      <c r="H229" s="8" t="s">
        <v>759</v>
      </c>
      <c r="I229" s="3" t="s">
        <v>29</v>
      </c>
      <c r="J229" s="10" t="s">
        <v>760</v>
      </c>
    </row>
    <row r="230" customFormat="false" ht="15" hidden="false" customHeight="false" outlineLevel="0" collapsed="false">
      <c r="A230" s="3" t="n">
        <v>229</v>
      </c>
      <c r="B230" s="4" t="s">
        <v>10</v>
      </c>
      <c r="C230" s="3" t="s">
        <v>644</v>
      </c>
      <c r="D230" s="5" t="s">
        <v>645</v>
      </c>
      <c r="E230" s="5" t="s">
        <v>761</v>
      </c>
      <c r="F230" s="9" t="s">
        <v>762</v>
      </c>
      <c r="G230" s="7" t="s">
        <v>15</v>
      </c>
      <c r="H230" s="8" t="s">
        <v>763</v>
      </c>
      <c r="I230" s="3" t="s">
        <v>57</v>
      </c>
      <c r="J230" s="10" t="s">
        <v>764</v>
      </c>
    </row>
    <row r="231" customFormat="false" ht="15" hidden="false" customHeight="false" outlineLevel="0" collapsed="false">
      <c r="A231" s="3" t="n">
        <v>230</v>
      </c>
      <c r="B231" s="4" t="s">
        <v>10</v>
      </c>
      <c r="C231" s="3" t="s">
        <v>644</v>
      </c>
      <c r="D231" s="5" t="s">
        <v>645</v>
      </c>
      <c r="E231" s="5" t="s">
        <v>761</v>
      </c>
      <c r="F231" s="9" t="s">
        <v>765</v>
      </c>
      <c r="G231" s="7" t="s">
        <v>15</v>
      </c>
      <c r="H231" s="8" t="s">
        <v>766</v>
      </c>
      <c r="I231" s="3" t="s">
        <v>57</v>
      </c>
      <c r="J231" s="10" t="s">
        <v>767</v>
      </c>
    </row>
    <row r="232" customFormat="false" ht="15" hidden="false" customHeight="false" outlineLevel="0" collapsed="false">
      <c r="A232" s="3" t="n">
        <v>231</v>
      </c>
      <c r="B232" s="4" t="s">
        <v>10</v>
      </c>
      <c r="C232" s="3" t="s">
        <v>644</v>
      </c>
      <c r="D232" s="5" t="s">
        <v>645</v>
      </c>
      <c r="E232" s="5" t="s">
        <v>761</v>
      </c>
      <c r="F232" s="9" t="s">
        <v>768</v>
      </c>
      <c r="G232" s="7" t="s">
        <v>15</v>
      </c>
      <c r="H232" s="8" t="s">
        <v>769</v>
      </c>
      <c r="I232" s="3" t="s">
        <v>57</v>
      </c>
      <c r="J232" s="10" t="s">
        <v>770</v>
      </c>
    </row>
    <row r="233" customFormat="false" ht="15" hidden="false" customHeight="false" outlineLevel="0" collapsed="false">
      <c r="A233" s="3" t="n">
        <v>232</v>
      </c>
      <c r="B233" s="4" t="s">
        <v>10</v>
      </c>
      <c r="C233" s="3" t="s">
        <v>644</v>
      </c>
      <c r="D233" s="5" t="s">
        <v>645</v>
      </c>
      <c r="E233" s="5" t="s">
        <v>761</v>
      </c>
      <c r="F233" s="9" t="s">
        <v>771</v>
      </c>
      <c r="G233" s="7" t="s">
        <v>15</v>
      </c>
      <c r="H233" s="8" t="s">
        <v>772</v>
      </c>
      <c r="I233" s="3" t="s">
        <v>57</v>
      </c>
      <c r="J233" s="10" t="s">
        <v>773</v>
      </c>
    </row>
    <row r="234" customFormat="false" ht="15" hidden="false" customHeight="false" outlineLevel="0" collapsed="false">
      <c r="A234" s="3" t="n">
        <v>233</v>
      </c>
      <c r="B234" s="4" t="s">
        <v>10</v>
      </c>
      <c r="C234" s="3" t="s">
        <v>644</v>
      </c>
      <c r="D234" s="5" t="s">
        <v>645</v>
      </c>
      <c r="E234" s="5" t="s">
        <v>761</v>
      </c>
      <c r="F234" s="9" t="s">
        <v>774</v>
      </c>
      <c r="G234" s="7" t="s">
        <v>15</v>
      </c>
      <c r="H234" s="8" t="s">
        <v>775</v>
      </c>
      <c r="I234" s="3" t="s">
        <v>125</v>
      </c>
      <c r="J234" s="5" t="s">
        <v>776</v>
      </c>
    </row>
    <row r="235" customFormat="false" ht="15" hidden="false" customHeight="false" outlineLevel="0" collapsed="false">
      <c r="A235" s="3" t="n">
        <v>234</v>
      </c>
      <c r="B235" s="4" t="s">
        <v>10</v>
      </c>
      <c r="C235" s="3" t="s">
        <v>644</v>
      </c>
      <c r="D235" s="5" t="s">
        <v>645</v>
      </c>
      <c r="E235" s="5" t="s">
        <v>761</v>
      </c>
      <c r="F235" s="9" t="s">
        <v>777</v>
      </c>
      <c r="G235" s="7" t="s">
        <v>15</v>
      </c>
      <c r="H235" s="8" t="s">
        <v>778</v>
      </c>
      <c r="I235" s="3" t="s">
        <v>125</v>
      </c>
      <c r="J235" s="5" t="s">
        <v>779</v>
      </c>
    </row>
    <row r="236" customFormat="false" ht="15" hidden="false" customHeight="false" outlineLevel="0" collapsed="false">
      <c r="A236" s="3" t="n">
        <v>235</v>
      </c>
      <c r="B236" s="4" t="s">
        <v>10</v>
      </c>
      <c r="C236" s="3" t="s">
        <v>644</v>
      </c>
      <c r="D236" s="5" t="s">
        <v>645</v>
      </c>
      <c r="E236" s="10" t="s">
        <v>780</v>
      </c>
      <c r="F236" s="9" t="s">
        <v>781</v>
      </c>
      <c r="G236" s="7" t="s">
        <v>15</v>
      </c>
      <c r="H236" s="8" t="s">
        <v>782</v>
      </c>
      <c r="I236" s="3" t="s">
        <v>142</v>
      </c>
      <c r="J236" s="5" t="s">
        <v>783</v>
      </c>
    </row>
    <row r="237" customFormat="false" ht="15" hidden="false" customHeight="false" outlineLevel="0" collapsed="false">
      <c r="A237" s="3" t="n">
        <v>236</v>
      </c>
      <c r="B237" s="4" t="s">
        <v>10</v>
      </c>
      <c r="C237" s="3" t="s">
        <v>644</v>
      </c>
      <c r="D237" s="5" t="s">
        <v>645</v>
      </c>
      <c r="E237" s="10" t="s">
        <v>780</v>
      </c>
      <c r="F237" s="9" t="s">
        <v>784</v>
      </c>
      <c r="G237" s="16" t="s">
        <v>303</v>
      </c>
      <c r="H237" s="13" t="s">
        <v>785</v>
      </c>
      <c r="I237" s="3" t="s">
        <v>80</v>
      </c>
      <c r="J237" s="5" t="s">
        <v>786</v>
      </c>
    </row>
    <row r="238" customFormat="false" ht="15" hidden="false" customHeight="false" outlineLevel="0" collapsed="false">
      <c r="A238" s="3" t="n">
        <v>237</v>
      </c>
      <c r="B238" s="4" t="s">
        <v>10</v>
      </c>
      <c r="C238" s="3" t="s">
        <v>644</v>
      </c>
      <c r="D238" s="5" t="s">
        <v>645</v>
      </c>
      <c r="E238" s="10" t="s">
        <v>780</v>
      </c>
      <c r="F238" s="9" t="s">
        <v>787</v>
      </c>
      <c r="G238" s="12" t="s">
        <v>168</v>
      </c>
      <c r="H238" s="13" t="s">
        <v>169</v>
      </c>
      <c r="I238" s="3" t="s">
        <v>169</v>
      </c>
      <c r="J238" s="5" t="s">
        <v>788</v>
      </c>
    </row>
    <row r="239" customFormat="false" ht="15" hidden="false" customHeight="false" outlineLevel="0" collapsed="false">
      <c r="A239" s="3" t="n">
        <v>238</v>
      </c>
      <c r="B239" s="4" t="s">
        <v>10</v>
      </c>
      <c r="C239" s="3" t="s">
        <v>644</v>
      </c>
      <c r="D239" s="5" t="s">
        <v>645</v>
      </c>
      <c r="E239" s="10" t="s">
        <v>780</v>
      </c>
      <c r="F239" s="9" t="s">
        <v>789</v>
      </c>
      <c r="G239" s="7" t="s">
        <v>15</v>
      </c>
      <c r="H239" s="8" t="s">
        <v>790</v>
      </c>
      <c r="I239" s="3" t="s">
        <v>142</v>
      </c>
      <c r="J239" s="5" t="s">
        <v>791</v>
      </c>
    </row>
    <row r="240" customFormat="false" ht="15" hidden="false" customHeight="false" outlineLevel="0" collapsed="false">
      <c r="A240" s="3" t="n">
        <v>239</v>
      </c>
      <c r="B240" s="4" t="s">
        <v>10</v>
      </c>
      <c r="C240" s="3" t="s">
        <v>644</v>
      </c>
      <c r="D240" s="5" t="s">
        <v>645</v>
      </c>
      <c r="E240" s="10" t="s">
        <v>780</v>
      </c>
      <c r="F240" s="9" t="s">
        <v>792</v>
      </c>
      <c r="G240" s="7" t="s">
        <v>15</v>
      </c>
      <c r="H240" s="8" t="s">
        <v>793</v>
      </c>
      <c r="I240" s="3" t="s">
        <v>80</v>
      </c>
      <c r="J240" s="5" t="s">
        <v>794</v>
      </c>
    </row>
    <row r="241" customFormat="false" ht="15" hidden="false" customHeight="false" outlineLevel="0" collapsed="false">
      <c r="A241" s="3" t="n">
        <v>240</v>
      </c>
      <c r="B241" s="4" t="s">
        <v>10</v>
      </c>
      <c r="C241" s="3" t="s">
        <v>644</v>
      </c>
      <c r="D241" s="5" t="s">
        <v>645</v>
      </c>
      <c r="E241" s="10" t="s">
        <v>780</v>
      </c>
      <c r="F241" s="9" t="s">
        <v>795</v>
      </c>
      <c r="G241" s="12" t="s">
        <v>168</v>
      </c>
      <c r="H241" s="13" t="s">
        <v>169</v>
      </c>
      <c r="I241" s="3" t="s">
        <v>169</v>
      </c>
      <c r="J241" s="5" t="s">
        <v>796</v>
      </c>
    </row>
    <row r="242" customFormat="false" ht="15" hidden="false" customHeight="false" outlineLevel="0" collapsed="false">
      <c r="A242" s="3" t="n">
        <v>241</v>
      </c>
      <c r="B242" s="4" t="s">
        <v>10</v>
      </c>
      <c r="C242" s="3" t="s">
        <v>797</v>
      </c>
      <c r="D242" s="5" t="s">
        <v>798</v>
      </c>
      <c r="E242" s="5" t="s">
        <v>799</v>
      </c>
      <c r="F242" s="9" t="s">
        <v>800</v>
      </c>
      <c r="G242" s="7" t="s">
        <v>15</v>
      </c>
      <c r="H242" s="8" t="s">
        <v>801</v>
      </c>
      <c r="I242" s="3" t="s">
        <v>80</v>
      </c>
      <c r="J242" s="10" t="s">
        <v>802</v>
      </c>
    </row>
    <row r="243" customFormat="false" ht="15" hidden="false" customHeight="false" outlineLevel="0" collapsed="false">
      <c r="A243" s="3" t="n">
        <v>242</v>
      </c>
      <c r="B243" s="4" t="s">
        <v>10</v>
      </c>
      <c r="C243" s="3" t="s">
        <v>797</v>
      </c>
      <c r="D243" s="5" t="s">
        <v>798</v>
      </c>
      <c r="E243" s="5" t="s">
        <v>799</v>
      </c>
      <c r="F243" s="9" t="s">
        <v>803</v>
      </c>
      <c r="G243" s="7" t="s">
        <v>15</v>
      </c>
      <c r="H243" s="8" t="s">
        <v>804</v>
      </c>
      <c r="I243" s="3" t="s">
        <v>29</v>
      </c>
      <c r="J243" s="10" t="s">
        <v>805</v>
      </c>
    </row>
    <row r="244" customFormat="false" ht="15" hidden="false" customHeight="false" outlineLevel="0" collapsed="false">
      <c r="A244" s="3" t="n">
        <v>243</v>
      </c>
      <c r="B244" s="4" t="s">
        <v>10</v>
      </c>
      <c r="C244" s="3" t="s">
        <v>797</v>
      </c>
      <c r="D244" s="5" t="s">
        <v>798</v>
      </c>
      <c r="E244" s="5" t="s">
        <v>799</v>
      </c>
      <c r="F244" s="9" t="s">
        <v>806</v>
      </c>
      <c r="G244" s="7" t="s">
        <v>15</v>
      </c>
      <c r="H244" s="8" t="s">
        <v>807</v>
      </c>
      <c r="I244" s="3" t="s">
        <v>29</v>
      </c>
      <c r="J244" s="10" t="s">
        <v>808</v>
      </c>
    </row>
    <row r="245" customFormat="false" ht="15" hidden="false" customHeight="false" outlineLevel="0" collapsed="false">
      <c r="A245" s="3" t="n">
        <v>244</v>
      </c>
      <c r="B245" s="4" t="s">
        <v>10</v>
      </c>
      <c r="C245" s="3" t="s">
        <v>797</v>
      </c>
      <c r="D245" s="5" t="s">
        <v>798</v>
      </c>
      <c r="E245" s="5" t="s">
        <v>799</v>
      </c>
      <c r="F245" s="9" t="s">
        <v>809</v>
      </c>
      <c r="G245" s="11" t="s">
        <v>111</v>
      </c>
      <c r="H245" s="8" t="s">
        <v>810</v>
      </c>
      <c r="I245" s="3" t="s">
        <v>57</v>
      </c>
      <c r="J245" s="5" t="s">
        <v>811</v>
      </c>
    </row>
    <row r="246" customFormat="false" ht="15" hidden="false" customHeight="false" outlineLevel="0" collapsed="false">
      <c r="A246" s="3" t="n">
        <v>245</v>
      </c>
      <c r="B246" s="4" t="s">
        <v>10</v>
      </c>
      <c r="C246" s="3" t="s">
        <v>797</v>
      </c>
      <c r="D246" s="5" t="s">
        <v>798</v>
      </c>
      <c r="E246" s="5" t="s">
        <v>799</v>
      </c>
      <c r="F246" s="9" t="s">
        <v>812</v>
      </c>
      <c r="G246" s="7" t="s">
        <v>15</v>
      </c>
      <c r="H246" s="8" t="s">
        <v>813</v>
      </c>
      <c r="I246" s="3" t="s">
        <v>53</v>
      </c>
      <c r="J246" s="5" t="s">
        <v>814</v>
      </c>
    </row>
    <row r="247" customFormat="false" ht="15" hidden="false" customHeight="false" outlineLevel="0" collapsed="false">
      <c r="A247" s="3" t="n">
        <v>246</v>
      </c>
      <c r="B247" s="4" t="s">
        <v>10</v>
      </c>
      <c r="C247" s="3" t="s">
        <v>797</v>
      </c>
      <c r="D247" s="5" t="s">
        <v>798</v>
      </c>
      <c r="E247" s="5" t="s">
        <v>799</v>
      </c>
      <c r="F247" s="9" t="s">
        <v>815</v>
      </c>
      <c r="G247" s="7" t="s">
        <v>15</v>
      </c>
      <c r="H247" s="8" t="s">
        <v>816</v>
      </c>
      <c r="I247" s="3" t="s">
        <v>125</v>
      </c>
      <c r="J247" s="5" t="s">
        <v>817</v>
      </c>
    </row>
    <row r="248" customFormat="false" ht="15" hidden="false" customHeight="false" outlineLevel="0" collapsed="false">
      <c r="A248" s="3" t="n">
        <v>247</v>
      </c>
      <c r="B248" s="4" t="s">
        <v>10</v>
      </c>
      <c r="C248" s="3" t="s">
        <v>797</v>
      </c>
      <c r="D248" s="5" t="s">
        <v>798</v>
      </c>
      <c r="E248" s="5" t="s">
        <v>818</v>
      </c>
      <c r="F248" s="9" t="s">
        <v>819</v>
      </c>
      <c r="G248" s="16" t="s">
        <v>303</v>
      </c>
      <c r="H248" s="13" t="s">
        <v>820</v>
      </c>
      <c r="I248" s="3" t="s">
        <v>80</v>
      </c>
      <c r="J248" s="5" t="s">
        <v>821</v>
      </c>
    </row>
    <row r="249" customFormat="false" ht="15" hidden="false" customHeight="false" outlineLevel="0" collapsed="false">
      <c r="A249" s="3" t="n">
        <v>248</v>
      </c>
      <c r="B249" s="4" t="s">
        <v>10</v>
      </c>
      <c r="C249" s="3" t="s">
        <v>797</v>
      </c>
      <c r="D249" s="5" t="s">
        <v>798</v>
      </c>
      <c r="E249" s="5" t="s">
        <v>818</v>
      </c>
      <c r="F249" s="9" t="s">
        <v>822</v>
      </c>
      <c r="G249" s="16" t="s">
        <v>303</v>
      </c>
      <c r="H249" s="13" t="s">
        <v>823</v>
      </c>
      <c r="I249" s="3" t="s">
        <v>80</v>
      </c>
      <c r="J249" s="5" t="s">
        <v>824</v>
      </c>
    </row>
    <row r="250" customFormat="false" ht="15" hidden="false" customHeight="false" outlineLevel="0" collapsed="false">
      <c r="A250" s="3" t="n">
        <v>249</v>
      </c>
      <c r="B250" s="4" t="s">
        <v>10</v>
      </c>
      <c r="C250" s="3" t="s">
        <v>797</v>
      </c>
      <c r="D250" s="5" t="s">
        <v>798</v>
      </c>
      <c r="E250" s="5" t="s">
        <v>818</v>
      </c>
      <c r="F250" s="9" t="s">
        <v>825</v>
      </c>
      <c r="G250" s="16" t="s">
        <v>303</v>
      </c>
      <c r="H250" s="13" t="s">
        <v>826</v>
      </c>
      <c r="I250" s="3" t="s">
        <v>80</v>
      </c>
      <c r="J250" s="5" t="s">
        <v>827</v>
      </c>
    </row>
    <row r="251" customFormat="false" ht="15" hidden="false" customHeight="false" outlineLevel="0" collapsed="false">
      <c r="A251" s="3" t="n">
        <v>250</v>
      </c>
      <c r="B251" s="4" t="s">
        <v>10</v>
      </c>
      <c r="C251" s="3" t="s">
        <v>797</v>
      </c>
      <c r="D251" s="5" t="s">
        <v>798</v>
      </c>
      <c r="E251" s="5" t="s">
        <v>818</v>
      </c>
      <c r="F251" s="9" t="s">
        <v>828</v>
      </c>
      <c r="G251" s="16" t="s">
        <v>303</v>
      </c>
      <c r="H251" s="13" t="s">
        <v>829</v>
      </c>
      <c r="I251" s="3" t="s">
        <v>21</v>
      </c>
      <c r="J251" s="5" t="s">
        <v>830</v>
      </c>
    </row>
    <row r="252" customFormat="false" ht="15" hidden="false" customHeight="false" outlineLevel="0" collapsed="false">
      <c r="A252" s="3" t="n">
        <v>251</v>
      </c>
      <c r="B252" s="4" t="s">
        <v>10</v>
      </c>
      <c r="C252" s="3" t="s">
        <v>797</v>
      </c>
      <c r="D252" s="5" t="s">
        <v>798</v>
      </c>
      <c r="E252" s="5" t="s">
        <v>818</v>
      </c>
      <c r="F252" s="9" t="s">
        <v>831</v>
      </c>
      <c r="G252" s="16" t="s">
        <v>303</v>
      </c>
      <c r="H252" s="13" t="s">
        <v>832</v>
      </c>
      <c r="I252" s="3" t="s">
        <v>80</v>
      </c>
      <c r="J252" s="5" t="s">
        <v>833</v>
      </c>
    </row>
    <row r="253" customFormat="false" ht="15" hidden="false" customHeight="false" outlineLevel="0" collapsed="false">
      <c r="A253" s="3" t="n">
        <v>252</v>
      </c>
      <c r="B253" s="4" t="s">
        <v>10</v>
      </c>
      <c r="C253" s="3" t="s">
        <v>797</v>
      </c>
      <c r="D253" s="5" t="s">
        <v>798</v>
      </c>
      <c r="E253" s="5" t="s">
        <v>818</v>
      </c>
      <c r="F253" s="9" t="s">
        <v>834</v>
      </c>
      <c r="G253" s="12" t="s">
        <v>168</v>
      </c>
      <c r="H253" s="13" t="s">
        <v>169</v>
      </c>
      <c r="I253" s="3" t="s">
        <v>169</v>
      </c>
      <c r="J253" s="5" t="s">
        <v>835</v>
      </c>
    </row>
    <row r="254" customFormat="false" ht="15" hidden="false" customHeight="false" outlineLevel="0" collapsed="false">
      <c r="A254" s="3" t="n">
        <v>253</v>
      </c>
      <c r="B254" s="4" t="s">
        <v>10</v>
      </c>
      <c r="C254" s="3" t="s">
        <v>797</v>
      </c>
      <c r="D254" s="5" t="s">
        <v>798</v>
      </c>
      <c r="E254" s="5" t="s">
        <v>836</v>
      </c>
      <c r="F254" s="9" t="s">
        <v>837</v>
      </c>
      <c r="G254" s="7" t="s">
        <v>15</v>
      </c>
      <c r="H254" s="8" t="s">
        <v>838</v>
      </c>
      <c r="I254" s="3" t="s">
        <v>125</v>
      </c>
      <c r="J254" s="5" t="s">
        <v>839</v>
      </c>
    </row>
    <row r="255" customFormat="false" ht="15" hidden="false" customHeight="false" outlineLevel="0" collapsed="false">
      <c r="A255" s="3" t="n">
        <v>254</v>
      </c>
      <c r="B255" s="4" t="s">
        <v>10</v>
      </c>
      <c r="C255" s="3" t="s">
        <v>797</v>
      </c>
      <c r="D255" s="5" t="s">
        <v>798</v>
      </c>
      <c r="E255" s="5" t="s">
        <v>836</v>
      </c>
      <c r="F255" s="9" t="s">
        <v>840</v>
      </c>
      <c r="G255" s="12" t="s">
        <v>168</v>
      </c>
      <c r="H255" s="13" t="s">
        <v>169</v>
      </c>
      <c r="I255" s="3" t="s">
        <v>169</v>
      </c>
      <c r="J255" s="5" t="s">
        <v>841</v>
      </c>
    </row>
    <row r="256" customFormat="false" ht="15" hidden="false" customHeight="false" outlineLevel="0" collapsed="false">
      <c r="A256" s="3" t="n">
        <v>255</v>
      </c>
      <c r="B256" s="4" t="s">
        <v>10</v>
      </c>
      <c r="C256" s="3" t="s">
        <v>797</v>
      </c>
      <c r="D256" s="5" t="s">
        <v>798</v>
      </c>
      <c r="E256" s="5" t="s">
        <v>836</v>
      </c>
      <c r="F256" s="9" t="s">
        <v>842</v>
      </c>
      <c r="G256" s="11" t="s">
        <v>111</v>
      </c>
      <c r="H256" s="8" t="s">
        <v>843</v>
      </c>
      <c r="I256" s="3" t="s">
        <v>53</v>
      </c>
      <c r="J256" s="5" t="s">
        <v>844</v>
      </c>
    </row>
    <row r="257" customFormat="false" ht="15" hidden="false" customHeight="false" outlineLevel="0" collapsed="false">
      <c r="A257" s="3" t="n">
        <v>256</v>
      </c>
      <c r="B257" s="4" t="s">
        <v>10</v>
      </c>
      <c r="C257" s="3" t="s">
        <v>797</v>
      </c>
      <c r="D257" s="5" t="s">
        <v>798</v>
      </c>
      <c r="E257" s="5" t="s">
        <v>836</v>
      </c>
      <c r="F257" s="9" t="s">
        <v>845</v>
      </c>
      <c r="G257" s="11" t="s">
        <v>111</v>
      </c>
      <c r="H257" s="8" t="s">
        <v>846</v>
      </c>
      <c r="I257" s="3" t="s">
        <v>21</v>
      </c>
      <c r="J257" s="5" t="s">
        <v>847</v>
      </c>
    </row>
    <row r="258" customFormat="false" ht="15" hidden="false" customHeight="false" outlineLevel="0" collapsed="false">
      <c r="A258" s="3" t="n">
        <v>257</v>
      </c>
      <c r="B258" s="4" t="s">
        <v>10</v>
      </c>
      <c r="C258" s="3" t="s">
        <v>797</v>
      </c>
      <c r="D258" s="5" t="s">
        <v>798</v>
      </c>
      <c r="E258" s="5" t="s">
        <v>836</v>
      </c>
      <c r="F258" s="9" t="s">
        <v>848</v>
      </c>
      <c r="G258" s="11" t="s">
        <v>111</v>
      </c>
      <c r="H258" s="8" t="s">
        <v>849</v>
      </c>
      <c r="I258" s="3" t="s">
        <v>21</v>
      </c>
      <c r="J258" s="10" t="s">
        <v>850</v>
      </c>
    </row>
    <row r="259" customFormat="false" ht="15" hidden="false" customHeight="false" outlineLevel="0" collapsed="false">
      <c r="A259" s="3" t="n">
        <v>258</v>
      </c>
      <c r="B259" s="4" t="s">
        <v>10</v>
      </c>
      <c r="C259" s="3" t="s">
        <v>797</v>
      </c>
      <c r="D259" s="5" t="s">
        <v>798</v>
      </c>
      <c r="E259" s="5" t="s">
        <v>836</v>
      </c>
      <c r="F259" s="9" t="s">
        <v>851</v>
      </c>
      <c r="G259" s="11" t="s">
        <v>111</v>
      </c>
      <c r="H259" s="8" t="s">
        <v>852</v>
      </c>
      <c r="I259" s="3" t="s">
        <v>57</v>
      </c>
      <c r="J259" s="5" t="s">
        <v>853</v>
      </c>
    </row>
    <row r="260" customFormat="false" ht="15" hidden="false" customHeight="false" outlineLevel="0" collapsed="false">
      <c r="A260" s="3" t="n">
        <v>259</v>
      </c>
      <c r="B260" s="4" t="s">
        <v>10</v>
      </c>
      <c r="C260" s="3" t="s">
        <v>797</v>
      </c>
      <c r="D260" s="5" t="s">
        <v>798</v>
      </c>
      <c r="E260" s="5" t="s">
        <v>854</v>
      </c>
      <c r="F260" s="9" t="s">
        <v>855</v>
      </c>
      <c r="G260" s="11" t="s">
        <v>111</v>
      </c>
      <c r="H260" s="8" t="s">
        <v>856</v>
      </c>
      <c r="I260" s="3" t="s">
        <v>331</v>
      </c>
      <c r="J260" s="5" t="s">
        <v>857</v>
      </c>
    </row>
    <row r="261" customFormat="false" ht="15" hidden="false" customHeight="false" outlineLevel="0" collapsed="false">
      <c r="A261" s="3" t="n">
        <v>260</v>
      </c>
      <c r="B261" s="4" t="s">
        <v>10</v>
      </c>
      <c r="C261" s="3" t="s">
        <v>797</v>
      </c>
      <c r="D261" s="5" t="s">
        <v>798</v>
      </c>
      <c r="E261" s="5" t="s">
        <v>854</v>
      </c>
      <c r="F261" s="9" t="s">
        <v>858</v>
      </c>
      <c r="G261" s="11" t="s">
        <v>111</v>
      </c>
      <c r="H261" s="8" t="s">
        <v>859</v>
      </c>
      <c r="I261" s="3" t="s">
        <v>331</v>
      </c>
      <c r="J261" s="5" t="s">
        <v>860</v>
      </c>
    </row>
    <row r="262" customFormat="false" ht="15" hidden="false" customHeight="false" outlineLevel="0" collapsed="false">
      <c r="A262" s="3" t="n">
        <v>261</v>
      </c>
      <c r="B262" s="4" t="s">
        <v>10</v>
      </c>
      <c r="C262" s="3" t="s">
        <v>797</v>
      </c>
      <c r="D262" s="5" t="s">
        <v>798</v>
      </c>
      <c r="E262" s="5" t="s">
        <v>854</v>
      </c>
      <c r="F262" s="9" t="s">
        <v>861</v>
      </c>
      <c r="G262" s="11" t="s">
        <v>111</v>
      </c>
      <c r="H262" s="8" t="s">
        <v>862</v>
      </c>
      <c r="I262" s="3" t="s">
        <v>460</v>
      </c>
      <c r="J262" s="5" t="s">
        <v>863</v>
      </c>
    </row>
    <row r="263" customFormat="false" ht="15" hidden="false" customHeight="false" outlineLevel="0" collapsed="false">
      <c r="A263" s="3" t="n">
        <v>262</v>
      </c>
      <c r="B263" s="4" t="s">
        <v>10</v>
      </c>
      <c r="C263" s="3" t="s">
        <v>797</v>
      </c>
      <c r="D263" s="5" t="s">
        <v>798</v>
      </c>
      <c r="E263" s="5" t="s">
        <v>854</v>
      </c>
      <c r="F263" s="9" t="s">
        <v>483</v>
      </c>
      <c r="G263" s="11" t="s">
        <v>111</v>
      </c>
      <c r="H263" s="8" t="s">
        <v>864</v>
      </c>
      <c r="I263" s="3" t="s">
        <v>331</v>
      </c>
      <c r="J263" s="5" t="s">
        <v>865</v>
      </c>
    </row>
    <row r="264" customFormat="false" ht="15" hidden="false" customHeight="false" outlineLevel="0" collapsed="false">
      <c r="A264" s="3" t="n">
        <v>263</v>
      </c>
      <c r="B264" s="4" t="s">
        <v>10</v>
      </c>
      <c r="C264" s="3" t="s">
        <v>797</v>
      </c>
      <c r="D264" s="5" t="s">
        <v>798</v>
      </c>
      <c r="E264" s="5" t="s">
        <v>854</v>
      </c>
      <c r="F264" s="9" t="s">
        <v>866</v>
      </c>
      <c r="G264" s="11" t="s">
        <v>111</v>
      </c>
      <c r="H264" s="8" t="s">
        <v>867</v>
      </c>
      <c r="I264" s="3" t="s">
        <v>331</v>
      </c>
      <c r="J264" s="5" t="s">
        <v>868</v>
      </c>
    </row>
    <row r="265" customFormat="false" ht="15" hidden="false" customHeight="false" outlineLevel="0" collapsed="false">
      <c r="A265" s="3" t="n">
        <v>264</v>
      </c>
      <c r="B265" s="4" t="s">
        <v>10</v>
      </c>
      <c r="C265" s="3" t="s">
        <v>797</v>
      </c>
      <c r="D265" s="5" t="s">
        <v>798</v>
      </c>
      <c r="E265" s="5" t="s">
        <v>854</v>
      </c>
      <c r="F265" s="9" t="s">
        <v>869</v>
      </c>
      <c r="G265" s="11" t="s">
        <v>111</v>
      </c>
      <c r="H265" s="8" t="s">
        <v>870</v>
      </c>
      <c r="I265" s="3" t="s">
        <v>871</v>
      </c>
      <c r="J265" s="5" t="s">
        <v>872</v>
      </c>
    </row>
    <row r="266" customFormat="false" ht="15" hidden="false" customHeight="false" outlineLevel="0" collapsed="false">
      <c r="A266" s="3" t="n">
        <v>265</v>
      </c>
      <c r="B266" s="4" t="s">
        <v>10</v>
      </c>
      <c r="C266" s="3" t="s">
        <v>797</v>
      </c>
      <c r="D266" s="5" t="s">
        <v>798</v>
      </c>
      <c r="E266" s="5" t="s">
        <v>873</v>
      </c>
      <c r="F266" s="9" t="s">
        <v>874</v>
      </c>
      <c r="G266" s="7" t="s">
        <v>15</v>
      </c>
      <c r="H266" s="8" t="s">
        <v>875</v>
      </c>
      <c r="I266" s="3" t="s">
        <v>57</v>
      </c>
      <c r="J266" s="10" t="s">
        <v>177</v>
      </c>
    </row>
    <row r="267" customFormat="false" ht="15" hidden="false" customHeight="false" outlineLevel="0" collapsed="false">
      <c r="A267" s="3" t="n">
        <v>266</v>
      </c>
      <c r="B267" s="4" t="s">
        <v>10</v>
      </c>
      <c r="C267" s="3" t="s">
        <v>797</v>
      </c>
      <c r="D267" s="5" t="s">
        <v>798</v>
      </c>
      <c r="E267" s="5" t="s">
        <v>873</v>
      </c>
      <c r="F267" s="6" t="s">
        <v>876</v>
      </c>
      <c r="G267" s="7" t="s">
        <v>15</v>
      </c>
      <c r="H267" s="8" t="s">
        <v>877</v>
      </c>
      <c r="I267" s="3" t="s">
        <v>57</v>
      </c>
      <c r="J267" s="10" t="s">
        <v>878</v>
      </c>
    </row>
    <row r="268" customFormat="false" ht="15" hidden="false" customHeight="false" outlineLevel="0" collapsed="false">
      <c r="A268" s="3" t="n">
        <v>267</v>
      </c>
      <c r="B268" s="4" t="s">
        <v>10</v>
      </c>
      <c r="C268" s="3" t="s">
        <v>797</v>
      </c>
      <c r="D268" s="5" t="s">
        <v>798</v>
      </c>
      <c r="E268" s="5" t="s">
        <v>873</v>
      </c>
      <c r="F268" s="9" t="s">
        <v>879</v>
      </c>
      <c r="G268" s="7" t="s">
        <v>15</v>
      </c>
      <c r="H268" s="8" t="s">
        <v>880</v>
      </c>
      <c r="I268" s="3" t="s">
        <v>29</v>
      </c>
      <c r="J268" s="10" t="s">
        <v>881</v>
      </c>
    </row>
    <row r="269" customFormat="false" ht="15" hidden="false" customHeight="false" outlineLevel="0" collapsed="false">
      <c r="A269" s="3" t="n">
        <v>268</v>
      </c>
      <c r="B269" s="4" t="s">
        <v>10</v>
      </c>
      <c r="C269" s="3" t="s">
        <v>797</v>
      </c>
      <c r="D269" s="5" t="s">
        <v>798</v>
      </c>
      <c r="E269" s="5" t="s">
        <v>873</v>
      </c>
      <c r="F269" s="9" t="s">
        <v>882</v>
      </c>
      <c r="G269" s="7" t="s">
        <v>15</v>
      </c>
      <c r="H269" s="8" t="s">
        <v>883</v>
      </c>
      <c r="I269" s="3" t="s">
        <v>871</v>
      </c>
      <c r="J269" s="5" t="s">
        <v>884</v>
      </c>
    </row>
    <row r="270" customFormat="false" ht="15" hidden="false" customHeight="false" outlineLevel="0" collapsed="false">
      <c r="A270" s="3" t="n">
        <v>269</v>
      </c>
      <c r="B270" s="4" t="s">
        <v>10</v>
      </c>
      <c r="C270" s="3" t="s">
        <v>797</v>
      </c>
      <c r="D270" s="5" t="s">
        <v>798</v>
      </c>
      <c r="E270" s="5" t="s">
        <v>873</v>
      </c>
      <c r="F270" s="9" t="s">
        <v>885</v>
      </c>
      <c r="G270" s="12" t="s">
        <v>168</v>
      </c>
      <c r="H270" s="13" t="s">
        <v>169</v>
      </c>
      <c r="I270" s="3" t="s">
        <v>169</v>
      </c>
      <c r="J270" s="5" t="s">
        <v>886</v>
      </c>
    </row>
    <row r="271" customFormat="false" ht="15" hidden="false" customHeight="false" outlineLevel="0" collapsed="false">
      <c r="A271" s="3" t="n">
        <v>270</v>
      </c>
      <c r="B271" s="4" t="s">
        <v>10</v>
      </c>
      <c r="C271" s="3" t="s">
        <v>797</v>
      </c>
      <c r="D271" s="5" t="s">
        <v>798</v>
      </c>
      <c r="E271" s="5" t="s">
        <v>873</v>
      </c>
      <c r="F271" s="9" t="s">
        <v>887</v>
      </c>
      <c r="G271" s="7" t="s">
        <v>15</v>
      </c>
      <c r="H271" s="8" t="s">
        <v>888</v>
      </c>
      <c r="I271" s="3" t="s">
        <v>57</v>
      </c>
      <c r="J271" s="10" t="s">
        <v>889</v>
      </c>
    </row>
    <row r="272" customFormat="false" ht="15" hidden="false" customHeight="false" outlineLevel="0" collapsed="false">
      <c r="A272" s="3" t="n">
        <v>271</v>
      </c>
      <c r="B272" s="4" t="s">
        <v>10</v>
      </c>
      <c r="C272" s="3" t="s">
        <v>797</v>
      </c>
      <c r="D272" s="5" t="s">
        <v>798</v>
      </c>
      <c r="E272" s="5" t="s">
        <v>890</v>
      </c>
      <c r="F272" s="9" t="s">
        <v>891</v>
      </c>
      <c r="G272" s="12" t="s">
        <v>168</v>
      </c>
      <c r="H272" s="13" t="s">
        <v>169</v>
      </c>
      <c r="I272" s="3" t="s">
        <v>169</v>
      </c>
      <c r="J272" s="5" t="s">
        <v>892</v>
      </c>
    </row>
    <row r="273" customFormat="false" ht="15" hidden="false" customHeight="false" outlineLevel="0" collapsed="false">
      <c r="A273" s="3" t="n">
        <v>272</v>
      </c>
      <c r="B273" s="4" t="s">
        <v>10</v>
      </c>
      <c r="C273" s="3" t="s">
        <v>797</v>
      </c>
      <c r="D273" s="5" t="s">
        <v>798</v>
      </c>
      <c r="E273" s="5" t="s">
        <v>890</v>
      </c>
      <c r="F273" s="9" t="s">
        <v>893</v>
      </c>
      <c r="G273" s="12" t="s">
        <v>168</v>
      </c>
      <c r="H273" s="13" t="s">
        <v>169</v>
      </c>
      <c r="I273" s="3" t="s">
        <v>169</v>
      </c>
      <c r="J273" s="5" t="s">
        <v>894</v>
      </c>
    </row>
    <row r="274" customFormat="false" ht="15" hidden="false" customHeight="false" outlineLevel="0" collapsed="false">
      <c r="A274" s="3" t="n">
        <v>273</v>
      </c>
      <c r="B274" s="4" t="s">
        <v>10</v>
      </c>
      <c r="C274" s="3" t="s">
        <v>797</v>
      </c>
      <c r="D274" s="5" t="s">
        <v>798</v>
      </c>
      <c r="E274" s="5" t="s">
        <v>890</v>
      </c>
      <c r="F274" s="9" t="s">
        <v>895</v>
      </c>
      <c r="G274" s="12" t="s">
        <v>168</v>
      </c>
      <c r="H274" s="13" t="s">
        <v>169</v>
      </c>
      <c r="I274" s="3" t="s">
        <v>169</v>
      </c>
      <c r="J274" s="5" t="s">
        <v>896</v>
      </c>
    </row>
    <row r="275" customFormat="false" ht="15" hidden="false" customHeight="false" outlineLevel="0" collapsed="false">
      <c r="A275" s="3" t="n">
        <v>274</v>
      </c>
      <c r="B275" s="4" t="s">
        <v>10</v>
      </c>
      <c r="C275" s="3" t="s">
        <v>797</v>
      </c>
      <c r="D275" s="5" t="s">
        <v>798</v>
      </c>
      <c r="E275" s="5" t="s">
        <v>890</v>
      </c>
      <c r="F275" s="9" t="s">
        <v>897</v>
      </c>
      <c r="G275" s="12" t="s">
        <v>168</v>
      </c>
      <c r="H275" s="13" t="s">
        <v>169</v>
      </c>
      <c r="I275" s="3" t="s">
        <v>169</v>
      </c>
      <c r="J275" s="10" t="s">
        <v>898</v>
      </c>
    </row>
    <row r="276" customFormat="false" ht="15" hidden="false" customHeight="false" outlineLevel="0" collapsed="false">
      <c r="A276" s="3" t="n">
        <v>275</v>
      </c>
      <c r="B276" s="4" t="s">
        <v>10</v>
      </c>
      <c r="C276" s="3" t="s">
        <v>797</v>
      </c>
      <c r="D276" s="5" t="s">
        <v>798</v>
      </c>
      <c r="E276" s="5" t="s">
        <v>890</v>
      </c>
      <c r="F276" s="9" t="s">
        <v>899</v>
      </c>
      <c r="G276" s="12" t="s">
        <v>168</v>
      </c>
      <c r="H276" s="13" t="s">
        <v>169</v>
      </c>
      <c r="I276" s="3" t="s">
        <v>169</v>
      </c>
      <c r="J276" s="5" t="s">
        <v>900</v>
      </c>
    </row>
    <row r="277" customFormat="false" ht="15" hidden="false" customHeight="false" outlineLevel="0" collapsed="false">
      <c r="A277" s="3" t="n">
        <v>276</v>
      </c>
      <c r="B277" s="4" t="s">
        <v>10</v>
      </c>
      <c r="C277" s="3" t="s">
        <v>797</v>
      </c>
      <c r="D277" s="5" t="s">
        <v>798</v>
      </c>
      <c r="E277" s="5" t="s">
        <v>890</v>
      </c>
      <c r="F277" s="9" t="s">
        <v>901</v>
      </c>
      <c r="G277" s="7" t="s">
        <v>15</v>
      </c>
      <c r="H277" s="8" t="s">
        <v>902</v>
      </c>
      <c r="I277" s="3" t="s">
        <v>21</v>
      </c>
      <c r="J277" s="5" t="s">
        <v>903</v>
      </c>
    </row>
    <row r="278" customFormat="false" ht="15" hidden="false" customHeight="false" outlineLevel="0" collapsed="false">
      <c r="A278" s="3" t="n">
        <v>277</v>
      </c>
      <c r="B278" s="4" t="s">
        <v>10</v>
      </c>
      <c r="C278" s="3" t="s">
        <v>797</v>
      </c>
      <c r="D278" s="5" t="s">
        <v>798</v>
      </c>
      <c r="E278" s="5" t="s">
        <v>904</v>
      </c>
      <c r="F278" s="6" t="s">
        <v>905</v>
      </c>
      <c r="G278" s="12" t="s">
        <v>168</v>
      </c>
      <c r="H278" s="13" t="s">
        <v>169</v>
      </c>
      <c r="I278" s="3" t="s">
        <v>169</v>
      </c>
      <c r="J278" s="5" t="s">
        <v>906</v>
      </c>
    </row>
    <row r="279" customFormat="false" ht="15" hidden="false" customHeight="false" outlineLevel="0" collapsed="false">
      <c r="A279" s="3" t="n">
        <v>278</v>
      </c>
      <c r="B279" s="4" t="s">
        <v>10</v>
      </c>
      <c r="C279" s="3" t="s">
        <v>797</v>
      </c>
      <c r="D279" s="5" t="s">
        <v>798</v>
      </c>
      <c r="E279" s="5" t="s">
        <v>904</v>
      </c>
      <c r="F279" s="9" t="s">
        <v>178</v>
      </c>
      <c r="G279" s="7" t="s">
        <v>15</v>
      </c>
      <c r="H279" s="8" t="s">
        <v>907</v>
      </c>
      <c r="I279" s="3" t="s">
        <v>53</v>
      </c>
      <c r="J279" s="5" t="s">
        <v>908</v>
      </c>
    </row>
    <row r="280" customFormat="false" ht="15" hidden="false" customHeight="false" outlineLevel="0" collapsed="false">
      <c r="A280" s="3" t="n">
        <v>279</v>
      </c>
      <c r="B280" s="4" t="s">
        <v>10</v>
      </c>
      <c r="C280" s="3" t="s">
        <v>797</v>
      </c>
      <c r="D280" s="5" t="s">
        <v>798</v>
      </c>
      <c r="E280" s="5" t="s">
        <v>904</v>
      </c>
      <c r="F280" s="9" t="s">
        <v>909</v>
      </c>
      <c r="G280" s="7" t="s">
        <v>15</v>
      </c>
      <c r="H280" s="8" t="s">
        <v>910</v>
      </c>
      <c r="I280" s="3" t="s">
        <v>21</v>
      </c>
      <c r="J280" s="5" t="s">
        <v>911</v>
      </c>
    </row>
    <row r="281" customFormat="false" ht="15" hidden="false" customHeight="false" outlineLevel="0" collapsed="false">
      <c r="A281" s="3" t="n">
        <v>280</v>
      </c>
      <c r="B281" s="4" t="s">
        <v>10</v>
      </c>
      <c r="C281" s="3" t="s">
        <v>797</v>
      </c>
      <c r="D281" s="5" t="s">
        <v>798</v>
      </c>
      <c r="E281" s="5" t="s">
        <v>904</v>
      </c>
      <c r="F281" s="9" t="s">
        <v>912</v>
      </c>
      <c r="G281" s="7" t="s">
        <v>15</v>
      </c>
      <c r="H281" s="8" t="s">
        <v>913</v>
      </c>
      <c r="I281" s="3" t="s">
        <v>142</v>
      </c>
      <c r="J281" s="5" t="s">
        <v>914</v>
      </c>
    </row>
    <row r="282" customFormat="false" ht="15" hidden="false" customHeight="false" outlineLevel="0" collapsed="false">
      <c r="A282" s="3" t="n">
        <v>281</v>
      </c>
      <c r="B282" s="4" t="s">
        <v>10</v>
      </c>
      <c r="C282" s="3" t="s">
        <v>797</v>
      </c>
      <c r="D282" s="5" t="s">
        <v>798</v>
      </c>
      <c r="E282" s="5" t="s">
        <v>904</v>
      </c>
      <c r="F282" s="9" t="s">
        <v>915</v>
      </c>
      <c r="G282" s="12" t="s">
        <v>168</v>
      </c>
      <c r="H282" s="13" t="s">
        <v>169</v>
      </c>
      <c r="I282" s="3" t="s">
        <v>169</v>
      </c>
      <c r="J282" s="5" t="s">
        <v>916</v>
      </c>
    </row>
    <row r="283" customFormat="false" ht="15" hidden="false" customHeight="false" outlineLevel="0" collapsed="false">
      <c r="A283" s="3" t="n">
        <v>282</v>
      </c>
      <c r="B283" s="4" t="s">
        <v>10</v>
      </c>
      <c r="C283" s="3" t="s">
        <v>797</v>
      </c>
      <c r="D283" s="5" t="s">
        <v>798</v>
      </c>
      <c r="E283" s="5" t="s">
        <v>904</v>
      </c>
      <c r="F283" s="9" t="s">
        <v>917</v>
      </c>
      <c r="G283" s="11" t="s">
        <v>111</v>
      </c>
      <c r="H283" s="8" t="s">
        <v>918</v>
      </c>
      <c r="I283" s="3" t="s">
        <v>460</v>
      </c>
      <c r="J283" s="5" t="s">
        <v>919</v>
      </c>
    </row>
    <row r="284" customFormat="false" ht="15" hidden="false" customHeight="false" outlineLevel="0" collapsed="false">
      <c r="A284" s="3" t="n">
        <v>283</v>
      </c>
      <c r="B284" s="4" t="s">
        <v>10</v>
      </c>
      <c r="C284" s="3" t="s">
        <v>797</v>
      </c>
      <c r="D284" s="5" t="s">
        <v>798</v>
      </c>
      <c r="E284" s="5" t="s">
        <v>920</v>
      </c>
      <c r="F284" s="9" t="s">
        <v>921</v>
      </c>
      <c r="G284" s="7" t="s">
        <v>15</v>
      </c>
      <c r="H284" s="8" t="s">
        <v>922</v>
      </c>
      <c r="I284" s="3" t="s">
        <v>80</v>
      </c>
      <c r="J284" s="5" t="s">
        <v>923</v>
      </c>
    </row>
    <row r="285" customFormat="false" ht="15" hidden="false" customHeight="false" outlineLevel="0" collapsed="false">
      <c r="A285" s="3" t="n">
        <v>284</v>
      </c>
      <c r="B285" s="4" t="s">
        <v>10</v>
      </c>
      <c r="C285" s="3" t="s">
        <v>797</v>
      </c>
      <c r="D285" s="5" t="s">
        <v>798</v>
      </c>
      <c r="E285" s="5" t="s">
        <v>920</v>
      </c>
      <c r="F285" s="9" t="s">
        <v>924</v>
      </c>
      <c r="G285" s="12" t="s">
        <v>168</v>
      </c>
      <c r="H285" s="13" t="s">
        <v>169</v>
      </c>
      <c r="I285" s="3" t="s">
        <v>169</v>
      </c>
      <c r="J285" s="5" t="s">
        <v>925</v>
      </c>
    </row>
    <row r="286" customFormat="false" ht="15" hidden="false" customHeight="false" outlineLevel="0" collapsed="false">
      <c r="A286" s="3" t="n">
        <v>285</v>
      </c>
      <c r="B286" s="4" t="s">
        <v>10</v>
      </c>
      <c r="C286" s="3" t="s">
        <v>797</v>
      </c>
      <c r="D286" s="5" t="s">
        <v>798</v>
      </c>
      <c r="E286" s="5" t="s">
        <v>920</v>
      </c>
      <c r="F286" s="9" t="s">
        <v>926</v>
      </c>
      <c r="G286" s="7" t="s">
        <v>15</v>
      </c>
      <c r="H286" s="8" t="s">
        <v>927</v>
      </c>
      <c r="I286" s="3" t="s">
        <v>21</v>
      </c>
      <c r="J286" s="5" t="s">
        <v>928</v>
      </c>
    </row>
    <row r="287" customFormat="false" ht="15" hidden="false" customHeight="false" outlineLevel="0" collapsed="false">
      <c r="A287" s="3" t="n">
        <v>286</v>
      </c>
      <c r="B287" s="4" t="s">
        <v>10</v>
      </c>
      <c r="C287" s="3" t="s">
        <v>797</v>
      </c>
      <c r="D287" s="5" t="s">
        <v>798</v>
      </c>
      <c r="E287" s="5" t="s">
        <v>920</v>
      </c>
      <c r="F287" s="9" t="s">
        <v>929</v>
      </c>
      <c r="G287" s="12" t="s">
        <v>168</v>
      </c>
      <c r="H287" s="13" t="s">
        <v>169</v>
      </c>
      <c r="I287" s="3" t="s">
        <v>169</v>
      </c>
      <c r="J287" s="5" t="s">
        <v>930</v>
      </c>
    </row>
    <row r="288" customFormat="false" ht="15" hidden="false" customHeight="false" outlineLevel="0" collapsed="false">
      <c r="A288" s="3" t="n">
        <v>287</v>
      </c>
      <c r="B288" s="4" t="s">
        <v>10</v>
      </c>
      <c r="C288" s="3" t="s">
        <v>797</v>
      </c>
      <c r="D288" s="5" t="s">
        <v>798</v>
      </c>
      <c r="E288" s="5" t="s">
        <v>920</v>
      </c>
      <c r="F288" s="9" t="s">
        <v>931</v>
      </c>
      <c r="G288" s="7" t="s">
        <v>15</v>
      </c>
      <c r="H288" s="8" t="s">
        <v>932</v>
      </c>
      <c r="I288" s="3" t="s">
        <v>142</v>
      </c>
      <c r="J288" s="5" t="s">
        <v>933</v>
      </c>
    </row>
    <row r="289" customFormat="false" ht="15" hidden="false" customHeight="false" outlineLevel="0" collapsed="false">
      <c r="A289" s="3" t="n">
        <v>288</v>
      </c>
      <c r="B289" s="4" t="s">
        <v>10</v>
      </c>
      <c r="C289" s="3" t="s">
        <v>797</v>
      </c>
      <c r="D289" s="5" t="s">
        <v>798</v>
      </c>
      <c r="E289" s="5" t="s">
        <v>920</v>
      </c>
      <c r="F289" s="9" t="s">
        <v>934</v>
      </c>
      <c r="G289" s="12" t="s">
        <v>168</v>
      </c>
      <c r="H289" s="13" t="s">
        <v>169</v>
      </c>
      <c r="I289" s="3" t="s">
        <v>169</v>
      </c>
      <c r="J289" s="5" t="s">
        <v>935</v>
      </c>
    </row>
    <row r="290" customFormat="false" ht="15" hidden="false" customHeight="false" outlineLevel="0" collapsed="false">
      <c r="A290" s="3" t="n">
        <v>289</v>
      </c>
      <c r="B290" s="4" t="s">
        <v>10</v>
      </c>
      <c r="C290" s="3" t="s">
        <v>936</v>
      </c>
      <c r="D290" s="5" t="s">
        <v>937</v>
      </c>
      <c r="E290" s="5" t="s">
        <v>938</v>
      </c>
      <c r="F290" s="9" t="s">
        <v>939</v>
      </c>
      <c r="G290" s="11" t="s">
        <v>111</v>
      </c>
      <c r="H290" s="8" t="s">
        <v>940</v>
      </c>
      <c r="I290" s="3" t="s">
        <v>460</v>
      </c>
      <c r="J290" s="5" t="s">
        <v>941</v>
      </c>
    </row>
    <row r="291" customFormat="false" ht="15" hidden="false" customHeight="false" outlineLevel="0" collapsed="false">
      <c r="A291" s="3" t="n">
        <v>290</v>
      </c>
      <c r="B291" s="4" t="s">
        <v>10</v>
      </c>
      <c r="C291" s="3" t="s">
        <v>936</v>
      </c>
      <c r="D291" s="5" t="s">
        <v>937</v>
      </c>
      <c r="E291" s="5" t="s">
        <v>938</v>
      </c>
      <c r="F291" s="9" t="s">
        <v>942</v>
      </c>
      <c r="G291" s="11" t="s">
        <v>111</v>
      </c>
      <c r="H291" s="8" t="s">
        <v>943</v>
      </c>
      <c r="I291" s="3" t="s">
        <v>142</v>
      </c>
      <c r="J291" s="5" t="s">
        <v>944</v>
      </c>
    </row>
    <row r="292" customFormat="false" ht="15" hidden="false" customHeight="false" outlineLevel="0" collapsed="false">
      <c r="A292" s="3" t="n">
        <v>291</v>
      </c>
      <c r="B292" s="4" t="s">
        <v>10</v>
      </c>
      <c r="C292" s="3" t="s">
        <v>936</v>
      </c>
      <c r="D292" s="5" t="s">
        <v>937</v>
      </c>
      <c r="E292" s="5" t="s">
        <v>938</v>
      </c>
      <c r="F292" s="9" t="s">
        <v>945</v>
      </c>
      <c r="G292" s="11" t="s">
        <v>111</v>
      </c>
      <c r="H292" s="8" t="s">
        <v>946</v>
      </c>
      <c r="I292" s="3" t="s">
        <v>142</v>
      </c>
      <c r="J292" s="5" t="s">
        <v>947</v>
      </c>
    </row>
    <row r="293" customFormat="false" ht="15" hidden="false" customHeight="false" outlineLevel="0" collapsed="false">
      <c r="A293" s="3" t="n">
        <v>292</v>
      </c>
      <c r="B293" s="4" t="s">
        <v>10</v>
      </c>
      <c r="C293" s="3" t="s">
        <v>936</v>
      </c>
      <c r="D293" s="5" t="s">
        <v>937</v>
      </c>
      <c r="E293" s="5" t="s">
        <v>938</v>
      </c>
      <c r="F293" s="9" t="s">
        <v>948</v>
      </c>
      <c r="G293" s="11" t="s">
        <v>111</v>
      </c>
      <c r="H293" s="8" t="s">
        <v>949</v>
      </c>
      <c r="I293" s="3" t="s">
        <v>309</v>
      </c>
      <c r="J293" s="5" t="s">
        <v>950</v>
      </c>
    </row>
    <row r="294" customFormat="false" ht="15" hidden="false" customHeight="false" outlineLevel="0" collapsed="false">
      <c r="A294" s="3" t="n">
        <v>293</v>
      </c>
      <c r="B294" s="4" t="s">
        <v>10</v>
      </c>
      <c r="C294" s="3" t="s">
        <v>936</v>
      </c>
      <c r="D294" s="5" t="s">
        <v>937</v>
      </c>
      <c r="E294" s="5" t="s">
        <v>938</v>
      </c>
      <c r="F294" s="9" t="s">
        <v>951</v>
      </c>
      <c r="G294" s="7" t="s">
        <v>15</v>
      </c>
      <c r="H294" s="8" t="s">
        <v>952</v>
      </c>
      <c r="I294" s="3" t="s">
        <v>29</v>
      </c>
      <c r="J294" s="10" t="s">
        <v>953</v>
      </c>
    </row>
    <row r="295" customFormat="false" ht="15" hidden="false" customHeight="false" outlineLevel="0" collapsed="false">
      <c r="A295" s="3" t="n">
        <v>294</v>
      </c>
      <c r="B295" s="4" t="s">
        <v>10</v>
      </c>
      <c r="C295" s="3" t="s">
        <v>936</v>
      </c>
      <c r="D295" s="5" t="s">
        <v>937</v>
      </c>
      <c r="E295" s="5" t="s">
        <v>938</v>
      </c>
      <c r="F295" s="9" t="s">
        <v>954</v>
      </c>
      <c r="G295" s="7" t="s">
        <v>15</v>
      </c>
      <c r="H295" s="8" t="s">
        <v>955</v>
      </c>
      <c r="I295" s="3" t="s">
        <v>80</v>
      </c>
      <c r="J295" s="5" t="s">
        <v>956</v>
      </c>
    </row>
    <row r="296" customFormat="false" ht="15" hidden="false" customHeight="false" outlineLevel="0" collapsed="false">
      <c r="A296" s="3" t="n">
        <v>295</v>
      </c>
      <c r="B296" s="4" t="s">
        <v>10</v>
      </c>
      <c r="C296" s="3" t="s">
        <v>936</v>
      </c>
      <c r="D296" s="5" t="s">
        <v>937</v>
      </c>
      <c r="E296" s="5" t="s">
        <v>957</v>
      </c>
      <c r="F296" s="9" t="s">
        <v>958</v>
      </c>
      <c r="G296" s="16" t="s">
        <v>303</v>
      </c>
      <c r="H296" s="13" t="s">
        <v>959</v>
      </c>
      <c r="I296" s="3" t="s">
        <v>80</v>
      </c>
      <c r="J296" s="5" t="s">
        <v>960</v>
      </c>
    </row>
    <row r="297" customFormat="false" ht="15" hidden="false" customHeight="false" outlineLevel="0" collapsed="false">
      <c r="A297" s="3" t="n">
        <v>296</v>
      </c>
      <c r="B297" s="4" t="s">
        <v>10</v>
      </c>
      <c r="C297" s="3" t="s">
        <v>936</v>
      </c>
      <c r="D297" s="5" t="s">
        <v>937</v>
      </c>
      <c r="E297" s="5" t="s">
        <v>957</v>
      </c>
      <c r="F297" s="9" t="s">
        <v>961</v>
      </c>
      <c r="G297" s="7" t="s">
        <v>15</v>
      </c>
      <c r="H297" s="8" t="s">
        <v>962</v>
      </c>
      <c r="I297" s="3" t="s">
        <v>17</v>
      </c>
      <c r="J297" s="5" t="s">
        <v>963</v>
      </c>
    </row>
    <row r="298" customFormat="false" ht="15" hidden="false" customHeight="false" outlineLevel="0" collapsed="false">
      <c r="A298" s="3" t="n">
        <v>297</v>
      </c>
      <c r="B298" s="4" t="s">
        <v>10</v>
      </c>
      <c r="C298" s="3" t="s">
        <v>936</v>
      </c>
      <c r="D298" s="5" t="s">
        <v>937</v>
      </c>
      <c r="E298" s="5" t="s">
        <v>957</v>
      </c>
      <c r="F298" s="9" t="s">
        <v>964</v>
      </c>
      <c r="G298" s="12" t="s">
        <v>168</v>
      </c>
      <c r="H298" s="13" t="s">
        <v>169</v>
      </c>
      <c r="I298" s="3" t="s">
        <v>169</v>
      </c>
      <c r="J298" s="5" t="s">
        <v>965</v>
      </c>
    </row>
    <row r="299" customFormat="false" ht="15" hidden="false" customHeight="false" outlineLevel="0" collapsed="false">
      <c r="A299" s="3" t="n">
        <v>298</v>
      </c>
      <c r="B299" s="4" t="s">
        <v>10</v>
      </c>
      <c r="C299" s="3" t="s">
        <v>936</v>
      </c>
      <c r="D299" s="5" t="s">
        <v>937</v>
      </c>
      <c r="E299" s="5" t="s">
        <v>957</v>
      </c>
      <c r="F299" s="9" t="s">
        <v>966</v>
      </c>
      <c r="G299" s="7" t="s">
        <v>15</v>
      </c>
      <c r="H299" s="8" t="s">
        <v>967</v>
      </c>
      <c r="I299" s="3" t="s">
        <v>57</v>
      </c>
      <c r="J299" s="10" t="s">
        <v>968</v>
      </c>
    </row>
    <row r="300" customFormat="false" ht="15" hidden="false" customHeight="false" outlineLevel="0" collapsed="false">
      <c r="A300" s="3" t="n">
        <v>299</v>
      </c>
      <c r="B300" s="4" t="s">
        <v>10</v>
      </c>
      <c r="C300" s="3" t="s">
        <v>936</v>
      </c>
      <c r="D300" s="5" t="s">
        <v>937</v>
      </c>
      <c r="E300" s="5" t="s">
        <v>957</v>
      </c>
      <c r="F300" s="9" t="s">
        <v>969</v>
      </c>
      <c r="G300" s="11" t="s">
        <v>111</v>
      </c>
      <c r="H300" s="8" t="s">
        <v>970</v>
      </c>
      <c r="I300" s="3" t="s">
        <v>331</v>
      </c>
      <c r="J300" s="5" t="s">
        <v>971</v>
      </c>
    </row>
    <row r="301" customFormat="false" ht="15" hidden="false" customHeight="false" outlineLevel="0" collapsed="false">
      <c r="A301" s="3" t="n">
        <v>300</v>
      </c>
      <c r="B301" s="4" t="s">
        <v>10</v>
      </c>
      <c r="C301" s="3" t="s">
        <v>936</v>
      </c>
      <c r="D301" s="5" t="s">
        <v>937</v>
      </c>
      <c r="E301" s="5" t="s">
        <v>957</v>
      </c>
      <c r="F301" s="9" t="s">
        <v>972</v>
      </c>
      <c r="G301" s="7" t="s">
        <v>15</v>
      </c>
      <c r="H301" s="8" t="s">
        <v>973</v>
      </c>
      <c r="I301" s="3" t="s">
        <v>21</v>
      </c>
      <c r="J301" s="5" t="s">
        <v>974</v>
      </c>
    </row>
    <row r="302" customFormat="false" ht="15" hidden="false" customHeight="false" outlineLevel="0" collapsed="false">
      <c r="A302" s="3" t="n">
        <v>301</v>
      </c>
      <c r="B302" s="4" t="s">
        <v>10</v>
      </c>
      <c r="C302" s="3" t="s">
        <v>936</v>
      </c>
      <c r="D302" s="5" t="s">
        <v>937</v>
      </c>
      <c r="E302" s="5" t="s">
        <v>975</v>
      </c>
      <c r="F302" s="9" t="s">
        <v>976</v>
      </c>
      <c r="G302" s="7" t="s">
        <v>15</v>
      </c>
      <c r="H302" s="8" t="s">
        <v>977</v>
      </c>
      <c r="I302" s="3" t="s">
        <v>978</v>
      </c>
      <c r="J302" s="5" t="s">
        <v>979</v>
      </c>
    </row>
    <row r="303" customFormat="false" ht="15" hidden="false" customHeight="false" outlineLevel="0" collapsed="false">
      <c r="A303" s="3" t="n">
        <v>302</v>
      </c>
      <c r="B303" s="4" t="s">
        <v>10</v>
      </c>
      <c r="C303" s="3" t="s">
        <v>936</v>
      </c>
      <c r="D303" s="5" t="s">
        <v>937</v>
      </c>
      <c r="E303" s="5" t="s">
        <v>975</v>
      </c>
      <c r="F303" s="9" t="s">
        <v>980</v>
      </c>
      <c r="G303" s="12" t="s">
        <v>168</v>
      </c>
      <c r="H303" s="13" t="s">
        <v>169</v>
      </c>
      <c r="I303" s="3" t="s">
        <v>169</v>
      </c>
      <c r="J303" s="5" t="s">
        <v>981</v>
      </c>
    </row>
    <row r="304" customFormat="false" ht="15" hidden="false" customHeight="false" outlineLevel="0" collapsed="false">
      <c r="A304" s="3" t="n">
        <v>303</v>
      </c>
      <c r="B304" s="4" t="s">
        <v>10</v>
      </c>
      <c r="C304" s="3" t="s">
        <v>936</v>
      </c>
      <c r="D304" s="5" t="s">
        <v>937</v>
      </c>
      <c r="E304" s="5" t="s">
        <v>975</v>
      </c>
      <c r="F304" s="9" t="s">
        <v>982</v>
      </c>
      <c r="G304" s="12" t="s">
        <v>168</v>
      </c>
      <c r="H304" s="13" t="s">
        <v>169</v>
      </c>
      <c r="I304" s="3" t="s">
        <v>169</v>
      </c>
      <c r="J304" s="5" t="s">
        <v>983</v>
      </c>
    </row>
    <row r="305" customFormat="false" ht="15" hidden="false" customHeight="false" outlineLevel="0" collapsed="false">
      <c r="A305" s="3" t="n">
        <v>304</v>
      </c>
      <c r="B305" s="4" t="s">
        <v>10</v>
      </c>
      <c r="C305" s="3" t="s">
        <v>936</v>
      </c>
      <c r="D305" s="5" t="s">
        <v>937</v>
      </c>
      <c r="E305" s="5" t="s">
        <v>975</v>
      </c>
      <c r="F305" s="9" t="s">
        <v>984</v>
      </c>
      <c r="G305" s="12" t="s">
        <v>168</v>
      </c>
      <c r="H305" s="13" t="s">
        <v>169</v>
      </c>
      <c r="I305" s="3" t="s">
        <v>169</v>
      </c>
      <c r="J305" s="5" t="s">
        <v>985</v>
      </c>
    </row>
    <row r="306" customFormat="false" ht="15" hidden="false" customHeight="false" outlineLevel="0" collapsed="false">
      <c r="A306" s="3" t="n">
        <v>305</v>
      </c>
      <c r="B306" s="4" t="s">
        <v>10</v>
      </c>
      <c r="C306" s="3" t="s">
        <v>936</v>
      </c>
      <c r="D306" s="5" t="s">
        <v>937</v>
      </c>
      <c r="E306" s="5" t="s">
        <v>975</v>
      </c>
      <c r="F306" s="9" t="s">
        <v>986</v>
      </c>
      <c r="G306" s="7" t="s">
        <v>15</v>
      </c>
      <c r="H306" s="8" t="s">
        <v>987</v>
      </c>
      <c r="I306" s="3" t="s">
        <v>53</v>
      </c>
      <c r="J306" s="5" t="s">
        <v>988</v>
      </c>
    </row>
    <row r="307" customFormat="false" ht="15" hidden="false" customHeight="false" outlineLevel="0" collapsed="false">
      <c r="A307" s="3" t="n">
        <v>306</v>
      </c>
      <c r="B307" s="4" t="s">
        <v>10</v>
      </c>
      <c r="C307" s="3" t="s">
        <v>936</v>
      </c>
      <c r="D307" s="5" t="s">
        <v>937</v>
      </c>
      <c r="E307" s="5" t="s">
        <v>975</v>
      </c>
      <c r="F307" s="9" t="s">
        <v>989</v>
      </c>
      <c r="G307" s="7" t="s">
        <v>15</v>
      </c>
      <c r="H307" s="8" t="s">
        <v>990</v>
      </c>
      <c r="I307" s="3" t="s">
        <v>80</v>
      </c>
      <c r="J307" s="5" t="s">
        <v>991</v>
      </c>
    </row>
    <row r="308" customFormat="false" ht="15" hidden="false" customHeight="false" outlineLevel="0" collapsed="false">
      <c r="A308" s="3" t="n">
        <v>307</v>
      </c>
      <c r="B308" s="4" t="s">
        <v>10</v>
      </c>
      <c r="C308" s="3" t="s">
        <v>936</v>
      </c>
      <c r="D308" s="5" t="s">
        <v>937</v>
      </c>
      <c r="E308" s="5" t="s">
        <v>992</v>
      </c>
      <c r="F308" s="9" t="s">
        <v>993</v>
      </c>
      <c r="G308" s="7" t="s">
        <v>15</v>
      </c>
      <c r="H308" s="8" t="s">
        <v>994</v>
      </c>
      <c r="I308" s="3" t="s">
        <v>21</v>
      </c>
      <c r="J308" s="5" t="s">
        <v>995</v>
      </c>
    </row>
    <row r="309" customFormat="false" ht="15" hidden="false" customHeight="false" outlineLevel="0" collapsed="false">
      <c r="A309" s="3" t="n">
        <v>308</v>
      </c>
      <c r="B309" s="4" t="s">
        <v>10</v>
      </c>
      <c r="C309" s="3" t="s">
        <v>936</v>
      </c>
      <c r="D309" s="5" t="s">
        <v>937</v>
      </c>
      <c r="E309" s="5" t="s">
        <v>992</v>
      </c>
      <c r="F309" s="9" t="s">
        <v>996</v>
      </c>
      <c r="G309" s="7" t="s">
        <v>15</v>
      </c>
      <c r="H309" s="8" t="s">
        <v>997</v>
      </c>
      <c r="I309" s="3" t="s">
        <v>460</v>
      </c>
      <c r="J309" s="5" t="s">
        <v>998</v>
      </c>
    </row>
    <row r="310" customFormat="false" ht="15" hidden="false" customHeight="false" outlineLevel="0" collapsed="false">
      <c r="A310" s="3" t="n">
        <v>309</v>
      </c>
      <c r="B310" s="4" t="s">
        <v>10</v>
      </c>
      <c r="C310" s="3" t="s">
        <v>936</v>
      </c>
      <c r="D310" s="5" t="s">
        <v>937</v>
      </c>
      <c r="E310" s="5" t="s">
        <v>992</v>
      </c>
      <c r="F310" s="9" t="s">
        <v>999</v>
      </c>
      <c r="G310" s="7" t="s">
        <v>15</v>
      </c>
      <c r="H310" s="8" t="s">
        <v>1000</v>
      </c>
      <c r="I310" s="3" t="s">
        <v>80</v>
      </c>
      <c r="J310" s="5" t="s">
        <v>1001</v>
      </c>
    </row>
    <row r="311" customFormat="false" ht="15" hidden="false" customHeight="false" outlineLevel="0" collapsed="false">
      <c r="A311" s="3" t="n">
        <v>310</v>
      </c>
      <c r="B311" s="4" t="s">
        <v>10</v>
      </c>
      <c r="C311" s="3" t="s">
        <v>936</v>
      </c>
      <c r="D311" s="5" t="s">
        <v>937</v>
      </c>
      <c r="E311" s="5" t="s">
        <v>992</v>
      </c>
      <c r="F311" s="9" t="s">
        <v>1002</v>
      </c>
      <c r="G311" s="7" t="s">
        <v>15</v>
      </c>
      <c r="H311" s="8" t="s">
        <v>1003</v>
      </c>
      <c r="I311" s="3" t="s">
        <v>142</v>
      </c>
      <c r="J311" s="5" t="s">
        <v>1004</v>
      </c>
    </row>
    <row r="312" customFormat="false" ht="15" hidden="false" customHeight="false" outlineLevel="0" collapsed="false">
      <c r="A312" s="3" t="n">
        <v>311</v>
      </c>
      <c r="B312" s="4" t="s">
        <v>10</v>
      </c>
      <c r="C312" s="3" t="s">
        <v>936</v>
      </c>
      <c r="D312" s="5" t="s">
        <v>937</v>
      </c>
      <c r="E312" s="5" t="s">
        <v>992</v>
      </c>
      <c r="F312" s="9" t="s">
        <v>1005</v>
      </c>
      <c r="G312" s="7" t="s">
        <v>15</v>
      </c>
      <c r="H312" s="8" t="s">
        <v>1006</v>
      </c>
      <c r="I312" s="3" t="s">
        <v>331</v>
      </c>
      <c r="J312" s="10" t="s">
        <v>1007</v>
      </c>
    </row>
    <row r="313" customFormat="false" ht="15" hidden="false" customHeight="false" outlineLevel="0" collapsed="false">
      <c r="A313" s="3" t="n">
        <v>312</v>
      </c>
      <c r="B313" s="4" t="s">
        <v>10</v>
      </c>
      <c r="C313" s="3" t="s">
        <v>936</v>
      </c>
      <c r="D313" s="5" t="s">
        <v>937</v>
      </c>
      <c r="E313" s="5" t="s">
        <v>992</v>
      </c>
      <c r="F313" s="9" t="s">
        <v>1008</v>
      </c>
      <c r="G313" s="7" t="s">
        <v>15</v>
      </c>
      <c r="H313" s="8" t="s">
        <v>1009</v>
      </c>
      <c r="I313" s="3" t="s">
        <v>17</v>
      </c>
      <c r="J313" s="5" t="s">
        <v>1010</v>
      </c>
    </row>
    <row r="314" customFormat="false" ht="15" hidden="false" customHeight="false" outlineLevel="0" collapsed="false">
      <c r="A314" s="3" t="n">
        <v>313</v>
      </c>
      <c r="B314" s="4" t="s">
        <v>10</v>
      </c>
      <c r="C314" s="3" t="s">
        <v>936</v>
      </c>
      <c r="D314" s="5" t="s">
        <v>937</v>
      </c>
      <c r="E314" s="5" t="s">
        <v>1011</v>
      </c>
      <c r="F314" s="9" t="s">
        <v>1012</v>
      </c>
      <c r="G314" s="11" t="s">
        <v>111</v>
      </c>
      <c r="H314" s="8" t="s">
        <v>1013</v>
      </c>
      <c r="I314" s="3" t="s">
        <v>1014</v>
      </c>
      <c r="J314" s="5" t="s">
        <v>1015</v>
      </c>
    </row>
    <row r="315" customFormat="false" ht="15" hidden="false" customHeight="false" outlineLevel="0" collapsed="false">
      <c r="A315" s="3" t="n">
        <v>314</v>
      </c>
      <c r="B315" s="4" t="s">
        <v>10</v>
      </c>
      <c r="C315" s="3" t="s">
        <v>936</v>
      </c>
      <c r="D315" s="5" t="s">
        <v>937</v>
      </c>
      <c r="E315" s="5" t="s">
        <v>1011</v>
      </c>
      <c r="F315" s="6" t="s">
        <v>1016</v>
      </c>
      <c r="G315" s="11" t="s">
        <v>111</v>
      </c>
      <c r="H315" s="8" t="s">
        <v>1017</v>
      </c>
      <c r="I315" s="3" t="s">
        <v>1014</v>
      </c>
      <c r="J315" s="10" t="s">
        <v>1018</v>
      </c>
    </row>
    <row r="316" customFormat="false" ht="15" hidden="false" customHeight="false" outlineLevel="0" collapsed="false">
      <c r="A316" s="3" t="n">
        <v>315</v>
      </c>
      <c r="B316" s="4" t="s">
        <v>10</v>
      </c>
      <c r="C316" s="3" t="s">
        <v>936</v>
      </c>
      <c r="D316" s="5" t="s">
        <v>937</v>
      </c>
      <c r="E316" s="5" t="s">
        <v>1011</v>
      </c>
      <c r="F316" s="9" t="s">
        <v>1019</v>
      </c>
      <c r="G316" s="11" t="s">
        <v>111</v>
      </c>
      <c r="H316" s="8" t="s">
        <v>1020</v>
      </c>
      <c r="I316" s="3" t="s">
        <v>1014</v>
      </c>
      <c r="J316" s="5" t="s">
        <v>1021</v>
      </c>
    </row>
    <row r="317" customFormat="false" ht="15" hidden="false" customHeight="false" outlineLevel="0" collapsed="false">
      <c r="A317" s="3" t="n">
        <v>316</v>
      </c>
      <c r="B317" s="4" t="s">
        <v>10</v>
      </c>
      <c r="C317" s="3" t="s">
        <v>936</v>
      </c>
      <c r="D317" s="5" t="s">
        <v>937</v>
      </c>
      <c r="E317" s="5" t="s">
        <v>1011</v>
      </c>
      <c r="F317" s="9" t="s">
        <v>1022</v>
      </c>
      <c r="G317" s="11" t="s">
        <v>111</v>
      </c>
      <c r="H317" s="8" t="s">
        <v>1023</v>
      </c>
      <c r="I317" s="3" t="s">
        <v>142</v>
      </c>
      <c r="J317" s="5" t="s">
        <v>1024</v>
      </c>
    </row>
    <row r="318" customFormat="false" ht="15" hidden="false" customHeight="false" outlineLevel="0" collapsed="false">
      <c r="A318" s="3" t="n">
        <v>317</v>
      </c>
      <c r="B318" s="4" t="s">
        <v>10</v>
      </c>
      <c r="C318" s="3" t="s">
        <v>936</v>
      </c>
      <c r="D318" s="5" t="s">
        <v>937</v>
      </c>
      <c r="E318" s="5" t="s">
        <v>1011</v>
      </c>
      <c r="F318" s="9" t="s">
        <v>1025</v>
      </c>
      <c r="G318" s="11" t="s">
        <v>111</v>
      </c>
      <c r="H318" s="8" t="s">
        <v>1026</v>
      </c>
      <c r="I318" s="3" t="s">
        <v>1014</v>
      </c>
      <c r="J318" s="5" t="s">
        <v>1027</v>
      </c>
    </row>
    <row r="319" customFormat="false" ht="15" hidden="false" customHeight="false" outlineLevel="0" collapsed="false">
      <c r="A319" s="3" t="n">
        <v>318</v>
      </c>
      <c r="B319" s="4" t="s">
        <v>10</v>
      </c>
      <c r="C319" s="3" t="s">
        <v>936</v>
      </c>
      <c r="D319" s="5" t="s">
        <v>937</v>
      </c>
      <c r="E319" s="5" t="s">
        <v>1011</v>
      </c>
      <c r="F319" s="9" t="s">
        <v>1028</v>
      </c>
      <c r="G319" s="11" t="s">
        <v>111</v>
      </c>
      <c r="H319" s="8" t="s">
        <v>1029</v>
      </c>
      <c r="I319" s="3" t="s">
        <v>1014</v>
      </c>
      <c r="J319" s="5" t="s">
        <v>1030</v>
      </c>
    </row>
    <row r="320" customFormat="false" ht="15" hidden="false" customHeight="false" outlineLevel="0" collapsed="false">
      <c r="A320" s="3" t="n">
        <v>319</v>
      </c>
      <c r="B320" s="4" t="s">
        <v>10</v>
      </c>
      <c r="C320" s="3" t="s">
        <v>936</v>
      </c>
      <c r="D320" s="5" t="s">
        <v>937</v>
      </c>
      <c r="E320" s="5" t="s">
        <v>1031</v>
      </c>
      <c r="F320" s="9" t="s">
        <v>1032</v>
      </c>
      <c r="G320" s="16" t="s">
        <v>303</v>
      </c>
      <c r="H320" s="13" t="s">
        <v>1033</v>
      </c>
      <c r="I320" s="3" t="s">
        <v>21</v>
      </c>
      <c r="J320" s="5" t="s">
        <v>1034</v>
      </c>
    </row>
    <row r="321" customFormat="false" ht="15" hidden="false" customHeight="false" outlineLevel="0" collapsed="false">
      <c r="A321" s="3" t="n">
        <v>320</v>
      </c>
      <c r="B321" s="4" t="s">
        <v>10</v>
      </c>
      <c r="C321" s="3" t="s">
        <v>936</v>
      </c>
      <c r="D321" s="5" t="s">
        <v>937</v>
      </c>
      <c r="E321" s="5" t="s">
        <v>1031</v>
      </c>
      <c r="F321" s="9" t="s">
        <v>1035</v>
      </c>
      <c r="G321" s="7" t="s">
        <v>15</v>
      </c>
      <c r="H321" s="8" t="s">
        <v>1036</v>
      </c>
      <c r="I321" s="3" t="s">
        <v>57</v>
      </c>
      <c r="J321" s="10" t="s">
        <v>1037</v>
      </c>
    </row>
    <row r="322" customFormat="false" ht="15" hidden="false" customHeight="false" outlineLevel="0" collapsed="false">
      <c r="A322" s="3" t="n">
        <v>321</v>
      </c>
      <c r="B322" s="4" t="s">
        <v>10</v>
      </c>
      <c r="C322" s="3" t="s">
        <v>936</v>
      </c>
      <c r="D322" s="5" t="s">
        <v>937</v>
      </c>
      <c r="E322" s="5" t="s">
        <v>1031</v>
      </c>
      <c r="F322" s="9" t="s">
        <v>1038</v>
      </c>
      <c r="G322" s="12" t="s">
        <v>168</v>
      </c>
      <c r="H322" s="13" t="s">
        <v>169</v>
      </c>
      <c r="I322" s="3" t="s">
        <v>169</v>
      </c>
      <c r="J322" s="5" t="s">
        <v>1039</v>
      </c>
    </row>
    <row r="323" customFormat="false" ht="15" hidden="false" customHeight="false" outlineLevel="0" collapsed="false">
      <c r="A323" s="3" t="n">
        <v>322</v>
      </c>
      <c r="B323" s="4" t="s">
        <v>10</v>
      </c>
      <c r="C323" s="3" t="s">
        <v>936</v>
      </c>
      <c r="D323" s="5" t="s">
        <v>937</v>
      </c>
      <c r="E323" s="5" t="s">
        <v>1031</v>
      </c>
      <c r="F323" s="9" t="s">
        <v>1040</v>
      </c>
      <c r="G323" s="11" t="s">
        <v>111</v>
      </c>
      <c r="H323" s="8" t="s">
        <v>1041</v>
      </c>
      <c r="I323" s="3" t="s">
        <v>57</v>
      </c>
      <c r="J323" s="5" t="s">
        <v>1042</v>
      </c>
    </row>
    <row r="324" customFormat="false" ht="15" hidden="false" customHeight="false" outlineLevel="0" collapsed="false">
      <c r="A324" s="3" t="n">
        <v>323</v>
      </c>
      <c r="B324" s="4" t="s">
        <v>10</v>
      </c>
      <c r="C324" s="3" t="s">
        <v>936</v>
      </c>
      <c r="D324" s="5" t="s">
        <v>937</v>
      </c>
      <c r="E324" s="5" t="s">
        <v>1031</v>
      </c>
      <c r="F324" s="9" t="s">
        <v>1043</v>
      </c>
      <c r="G324" s="16" t="s">
        <v>303</v>
      </c>
      <c r="H324" s="13" t="s">
        <v>1044</v>
      </c>
      <c r="I324" s="3" t="s">
        <v>17</v>
      </c>
      <c r="J324" s="5" t="s">
        <v>1045</v>
      </c>
    </row>
    <row r="325" customFormat="false" ht="15" hidden="false" customHeight="false" outlineLevel="0" collapsed="false">
      <c r="A325" s="3" t="n">
        <v>324</v>
      </c>
      <c r="B325" s="4" t="s">
        <v>10</v>
      </c>
      <c r="C325" s="3" t="s">
        <v>936</v>
      </c>
      <c r="D325" s="5" t="s">
        <v>937</v>
      </c>
      <c r="E325" s="5" t="s">
        <v>1031</v>
      </c>
      <c r="F325" s="9" t="s">
        <v>1046</v>
      </c>
      <c r="G325" s="12" t="s">
        <v>168</v>
      </c>
      <c r="H325" s="13" t="s">
        <v>169</v>
      </c>
      <c r="I325" s="3" t="s">
        <v>169</v>
      </c>
      <c r="J325" s="10" t="s">
        <v>1047</v>
      </c>
    </row>
    <row r="326" customFormat="false" ht="15" hidden="false" customHeight="false" outlineLevel="0" collapsed="false">
      <c r="A326" s="3" t="n">
        <v>325</v>
      </c>
      <c r="B326" s="4" t="s">
        <v>10</v>
      </c>
      <c r="C326" s="3" t="s">
        <v>936</v>
      </c>
      <c r="D326" s="5" t="s">
        <v>937</v>
      </c>
      <c r="E326" s="5" t="s">
        <v>1048</v>
      </c>
      <c r="F326" s="9" t="s">
        <v>1049</v>
      </c>
      <c r="G326" s="7" t="s">
        <v>15</v>
      </c>
      <c r="H326" s="8" t="s">
        <v>1050</v>
      </c>
      <c r="I326" s="3" t="s">
        <v>142</v>
      </c>
      <c r="J326" s="5" t="s">
        <v>1051</v>
      </c>
    </row>
    <row r="327" customFormat="false" ht="15" hidden="false" customHeight="false" outlineLevel="0" collapsed="false">
      <c r="A327" s="3" t="n">
        <v>326</v>
      </c>
      <c r="B327" s="4" t="s">
        <v>10</v>
      </c>
      <c r="C327" s="3" t="s">
        <v>936</v>
      </c>
      <c r="D327" s="5" t="s">
        <v>937</v>
      </c>
      <c r="E327" s="5" t="s">
        <v>1048</v>
      </c>
      <c r="F327" s="9" t="s">
        <v>1052</v>
      </c>
      <c r="G327" s="7" t="s">
        <v>15</v>
      </c>
      <c r="H327" s="8" t="s">
        <v>1053</v>
      </c>
      <c r="I327" s="3" t="s">
        <v>80</v>
      </c>
      <c r="J327" s="5" t="s">
        <v>1054</v>
      </c>
    </row>
    <row r="328" customFormat="false" ht="15" hidden="false" customHeight="false" outlineLevel="0" collapsed="false">
      <c r="A328" s="3" t="n">
        <v>327</v>
      </c>
      <c r="B328" s="4" t="s">
        <v>10</v>
      </c>
      <c r="C328" s="3" t="s">
        <v>936</v>
      </c>
      <c r="D328" s="5" t="s">
        <v>937</v>
      </c>
      <c r="E328" s="5" t="s">
        <v>1048</v>
      </c>
      <c r="F328" s="9" t="s">
        <v>1055</v>
      </c>
      <c r="G328" s="11" t="s">
        <v>111</v>
      </c>
      <c r="H328" s="8" t="s">
        <v>1056</v>
      </c>
      <c r="I328" s="3" t="s">
        <v>21</v>
      </c>
      <c r="J328" s="5" t="s">
        <v>1057</v>
      </c>
    </row>
    <row r="329" customFormat="false" ht="15" hidden="false" customHeight="false" outlineLevel="0" collapsed="false">
      <c r="A329" s="3" t="n">
        <v>328</v>
      </c>
      <c r="B329" s="4" t="s">
        <v>10</v>
      </c>
      <c r="C329" s="3" t="s">
        <v>936</v>
      </c>
      <c r="D329" s="5" t="s">
        <v>937</v>
      </c>
      <c r="E329" s="5" t="s">
        <v>1048</v>
      </c>
      <c r="F329" s="9" t="s">
        <v>1058</v>
      </c>
      <c r="G329" s="7" t="s">
        <v>15</v>
      </c>
      <c r="H329" s="8" t="s">
        <v>1059</v>
      </c>
      <c r="I329" s="3" t="s">
        <v>29</v>
      </c>
      <c r="J329" s="10" t="s">
        <v>1060</v>
      </c>
    </row>
    <row r="330" customFormat="false" ht="15" hidden="false" customHeight="false" outlineLevel="0" collapsed="false">
      <c r="A330" s="3" t="n">
        <v>329</v>
      </c>
      <c r="B330" s="4" t="s">
        <v>10</v>
      </c>
      <c r="C330" s="3" t="s">
        <v>936</v>
      </c>
      <c r="D330" s="5" t="s">
        <v>937</v>
      </c>
      <c r="E330" s="5" t="s">
        <v>1048</v>
      </c>
      <c r="F330" s="9" t="s">
        <v>1061</v>
      </c>
      <c r="G330" s="11" t="s">
        <v>111</v>
      </c>
      <c r="H330" s="8" t="s">
        <v>1062</v>
      </c>
      <c r="I330" s="3" t="s">
        <v>460</v>
      </c>
      <c r="J330" s="5" t="s">
        <v>1063</v>
      </c>
    </row>
    <row r="331" customFormat="false" ht="15" hidden="false" customHeight="false" outlineLevel="0" collapsed="false">
      <c r="A331" s="3" t="n">
        <v>330</v>
      </c>
      <c r="B331" s="4" t="s">
        <v>10</v>
      </c>
      <c r="C331" s="3" t="s">
        <v>936</v>
      </c>
      <c r="D331" s="5" t="s">
        <v>937</v>
      </c>
      <c r="E331" s="5" t="s">
        <v>1048</v>
      </c>
      <c r="F331" s="9" t="s">
        <v>1064</v>
      </c>
      <c r="G331" s="11" t="s">
        <v>111</v>
      </c>
      <c r="H331" s="8" t="s">
        <v>1065</v>
      </c>
      <c r="I331" s="3" t="s">
        <v>1014</v>
      </c>
      <c r="J331" s="5" t="s">
        <v>1066</v>
      </c>
    </row>
    <row r="332" customFormat="false" ht="15" hidden="false" customHeight="false" outlineLevel="0" collapsed="false">
      <c r="A332" s="3" t="n">
        <v>331</v>
      </c>
      <c r="B332" s="4" t="s">
        <v>10</v>
      </c>
      <c r="C332" s="3" t="s">
        <v>936</v>
      </c>
      <c r="D332" s="5" t="s">
        <v>937</v>
      </c>
      <c r="E332" s="5" t="s">
        <v>1067</v>
      </c>
      <c r="F332" s="9" t="s">
        <v>1068</v>
      </c>
      <c r="G332" s="11" t="s">
        <v>111</v>
      </c>
      <c r="H332" s="8" t="s">
        <v>1069</v>
      </c>
      <c r="I332" s="3" t="s">
        <v>1014</v>
      </c>
      <c r="J332" s="5" t="s">
        <v>1070</v>
      </c>
    </row>
    <row r="333" customFormat="false" ht="15" hidden="false" customHeight="false" outlineLevel="0" collapsed="false">
      <c r="A333" s="3" t="n">
        <v>332</v>
      </c>
      <c r="B333" s="4" t="s">
        <v>10</v>
      </c>
      <c r="C333" s="3" t="s">
        <v>936</v>
      </c>
      <c r="D333" s="5" t="s">
        <v>937</v>
      </c>
      <c r="E333" s="5" t="s">
        <v>1067</v>
      </c>
      <c r="F333" s="9" t="s">
        <v>1071</v>
      </c>
      <c r="G333" s="12" t="s">
        <v>168</v>
      </c>
      <c r="H333" s="13" t="s">
        <v>169</v>
      </c>
      <c r="I333" s="3" t="s">
        <v>169</v>
      </c>
      <c r="J333" s="5" t="s">
        <v>1072</v>
      </c>
    </row>
    <row r="334" customFormat="false" ht="15" hidden="false" customHeight="false" outlineLevel="0" collapsed="false">
      <c r="A334" s="3" t="n">
        <v>333</v>
      </c>
      <c r="B334" s="4" t="s">
        <v>10</v>
      </c>
      <c r="C334" s="3" t="s">
        <v>936</v>
      </c>
      <c r="D334" s="5" t="s">
        <v>937</v>
      </c>
      <c r="E334" s="5" t="s">
        <v>1067</v>
      </c>
      <c r="F334" s="9" t="s">
        <v>1073</v>
      </c>
      <c r="G334" s="11" t="s">
        <v>111</v>
      </c>
      <c r="H334" s="8" t="s">
        <v>1074</v>
      </c>
      <c r="I334" s="3" t="s">
        <v>57</v>
      </c>
      <c r="J334" s="5" t="s">
        <v>1075</v>
      </c>
    </row>
    <row r="335" customFormat="false" ht="15" hidden="false" customHeight="false" outlineLevel="0" collapsed="false">
      <c r="A335" s="3" t="n">
        <v>334</v>
      </c>
      <c r="B335" s="4" t="s">
        <v>10</v>
      </c>
      <c r="C335" s="3" t="s">
        <v>936</v>
      </c>
      <c r="D335" s="5" t="s">
        <v>937</v>
      </c>
      <c r="E335" s="5" t="s">
        <v>1067</v>
      </c>
      <c r="F335" s="9" t="s">
        <v>1076</v>
      </c>
      <c r="G335" s="7" t="s">
        <v>15</v>
      </c>
      <c r="H335" s="8" t="s">
        <v>1077</v>
      </c>
      <c r="I335" s="3" t="s">
        <v>57</v>
      </c>
      <c r="J335" s="10" t="s">
        <v>1078</v>
      </c>
    </row>
    <row r="336" customFormat="false" ht="15" hidden="false" customHeight="false" outlineLevel="0" collapsed="false">
      <c r="A336" s="3" t="n">
        <v>335</v>
      </c>
      <c r="B336" s="4" t="s">
        <v>10</v>
      </c>
      <c r="C336" s="3" t="s">
        <v>936</v>
      </c>
      <c r="D336" s="5" t="s">
        <v>937</v>
      </c>
      <c r="E336" s="5" t="s">
        <v>1067</v>
      </c>
      <c r="F336" s="9" t="s">
        <v>1079</v>
      </c>
      <c r="G336" s="12" t="s">
        <v>168</v>
      </c>
      <c r="H336" s="13" t="s">
        <v>169</v>
      </c>
      <c r="I336" s="3" t="s">
        <v>169</v>
      </c>
      <c r="J336" s="5" t="s">
        <v>1080</v>
      </c>
    </row>
    <row r="337" customFormat="false" ht="15" hidden="false" customHeight="false" outlineLevel="0" collapsed="false">
      <c r="A337" s="3" t="n">
        <v>336</v>
      </c>
      <c r="B337" s="4" t="s">
        <v>10</v>
      </c>
      <c r="C337" s="3" t="s">
        <v>936</v>
      </c>
      <c r="D337" s="5" t="s">
        <v>937</v>
      </c>
      <c r="E337" s="5" t="s">
        <v>1067</v>
      </c>
      <c r="F337" s="9" t="s">
        <v>1081</v>
      </c>
      <c r="G337" s="7" t="s">
        <v>15</v>
      </c>
      <c r="H337" s="8" t="s">
        <v>1082</v>
      </c>
      <c r="I337" s="3" t="s">
        <v>17</v>
      </c>
      <c r="J337" s="5" t="s">
        <v>1083</v>
      </c>
    </row>
    <row r="338" customFormat="false" ht="15" hidden="false" customHeight="false" outlineLevel="0" collapsed="false">
      <c r="A338" s="3" t="n">
        <v>337</v>
      </c>
      <c r="B338" s="4" t="s">
        <v>10</v>
      </c>
      <c r="C338" s="3" t="s">
        <v>1084</v>
      </c>
      <c r="D338" s="5" t="s">
        <v>1085</v>
      </c>
      <c r="E338" s="5" t="s">
        <v>1086</v>
      </c>
      <c r="F338" s="9" t="s">
        <v>1087</v>
      </c>
      <c r="G338" s="7" t="s">
        <v>15</v>
      </c>
      <c r="H338" s="8" t="s">
        <v>1088</v>
      </c>
      <c r="I338" s="3" t="s">
        <v>108</v>
      </c>
      <c r="J338" s="10" t="s">
        <v>1089</v>
      </c>
    </row>
    <row r="339" customFormat="false" ht="15" hidden="false" customHeight="false" outlineLevel="0" collapsed="false">
      <c r="A339" s="3" t="n">
        <v>338</v>
      </c>
      <c r="B339" s="4" t="s">
        <v>10</v>
      </c>
      <c r="C339" s="3" t="s">
        <v>1084</v>
      </c>
      <c r="D339" s="5" t="s">
        <v>1085</v>
      </c>
      <c r="E339" s="5" t="s">
        <v>1086</v>
      </c>
      <c r="F339" s="9" t="s">
        <v>1090</v>
      </c>
      <c r="G339" s="7" t="s">
        <v>15</v>
      </c>
      <c r="H339" s="8" t="s">
        <v>1091</v>
      </c>
      <c r="I339" s="3" t="s">
        <v>142</v>
      </c>
      <c r="J339" s="5" t="s">
        <v>1092</v>
      </c>
    </row>
    <row r="340" customFormat="false" ht="15" hidden="false" customHeight="false" outlineLevel="0" collapsed="false">
      <c r="A340" s="3" t="n">
        <v>339</v>
      </c>
      <c r="B340" s="4" t="s">
        <v>10</v>
      </c>
      <c r="C340" s="3" t="s">
        <v>1084</v>
      </c>
      <c r="D340" s="5" t="s">
        <v>1085</v>
      </c>
      <c r="E340" s="5" t="s">
        <v>1086</v>
      </c>
      <c r="F340" s="9" t="s">
        <v>1093</v>
      </c>
      <c r="G340" s="7" t="s">
        <v>15</v>
      </c>
      <c r="H340" s="8" t="s">
        <v>1094</v>
      </c>
      <c r="I340" s="3" t="s">
        <v>17</v>
      </c>
      <c r="J340" s="5" t="s">
        <v>1095</v>
      </c>
    </row>
    <row r="341" customFormat="false" ht="15" hidden="false" customHeight="false" outlineLevel="0" collapsed="false">
      <c r="A341" s="3" t="n">
        <v>340</v>
      </c>
      <c r="B341" s="4" t="s">
        <v>10</v>
      </c>
      <c r="C341" s="3" t="s">
        <v>1084</v>
      </c>
      <c r="D341" s="5" t="s">
        <v>1085</v>
      </c>
      <c r="E341" s="5" t="s">
        <v>1086</v>
      </c>
      <c r="F341" s="9" t="s">
        <v>1002</v>
      </c>
      <c r="G341" s="7" t="s">
        <v>15</v>
      </c>
      <c r="H341" s="8" t="s">
        <v>1096</v>
      </c>
      <c r="I341" s="3" t="s">
        <v>142</v>
      </c>
      <c r="J341" s="5" t="s">
        <v>1097</v>
      </c>
    </row>
    <row r="342" customFormat="false" ht="15" hidden="false" customHeight="false" outlineLevel="0" collapsed="false">
      <c r="A342" s="3" t="n">
        <v>341</v>
      </c>
      <c r="B342" s="4" t="s">
        <v>10</v>
      </c>
      <c r="C342" s="3" t="s">
        <v>1084</v>
      </c>
      <c r="D342" s="5" t="s">
        <v>1085</v>
      </c>
      <c r="E342" s="5" t="s">
        <v>1086</v>
      </c>
      <c r="F342" s="9" t="s">
        <v>1098</v>
      </c>
      <c r="G342" s="7" t="s">
        <v>15</v>
      </c>
      <c r="H342" s="8" t="s">
        <v>1099</v>
      </c>
      <c r="I342" s="3" t="s">
        <v>80</v>
      </c>
      <c r="J342" s="5" t="s">
        <v>1100</v>
      </c>
    </row>
    <row r="343" customFormat="false" ht="15" hidden="false" customHeight="false" outlineLevel="0" collapsed="false">
      <c r="A343" s="3" t="n">
        <v>342</v>
      </c>
      <c r="B343" s="4" t="s">
        <v>10</v>
      </c>
      <c r="C343" s="3" t="s">
        <v>1084</v>
      </c>
      <c r="D343" s="5" t="s">
        <v>1085</v>
      </c>
      <c r="E343" s="5" t="s">
        <v>1086</v>
      </c>
      <c r="F343" s="9" t="s">
        <v>1101</v>
      </c>
      <c r="G343" s="7" t="s">
        <v>15</v>
      </c>
      <c r="H343" s="8" t="s">
        <v>1102</v>
      </c>
      <c r="I343" s="3" t="s">
        <v>57</v>
      </c>
      <c r="J343" s="10" t="s">
        <v>1103</v>
      </c>
    </row>
    <row r="344" customFormat="false" ht="15" hidden="false" customHeight="false" outlineLevel="0" collapsed="false">
      <c r="A344" s="3" t="n">
        <v>343</v>
      </c>
      <c r="B344" s="4" t="s">
        <v>10</v>
      </c>
      <c r="C344" s="3" t="s">
        <v>1084</v>
      </c>
      <c r="D344" s="5" t="s">
        <v>1085</v>
      </c>
      <c r="E344" s="5" t="s">
        <v>1104</v>
      </c>
      <c r="F344" s="9" t="s">
        <v>1105</v>
      </c>
      <c r="G344" s="7" t="s">
        <v>15</v>
      </c>
      <c r="H344" s="8" t="s">
        <v>1106</v>
      </c>
      <c r="I344" s="3" t="s">
        <v>17</v>
      </c>
      <c r="J344" s="5" t="s">
        <v>1107</v>
      </c>
    </row>
    <row r="345" customFormat="false" ht="15" hidden="false" customHeight="false" outlineLevel="0" collapsed="false">
      <c r="A345" s="3" t="n">
        <v>344</v>
      </c>
      <c r="B345" s="4" t="s">
        <v>10</v>
      </c>
      <c r="C345" s="3" t="s">
        <v>1084</v>
      </c>
      <c r="D345" s="5" t="s">
        <v>1085</v>
      </c>
      <c r="E345" s="5" t="s">
        <v>1104</v>
      </c>
      <c r="F345" s="9" t="s">
        <v>1108</v>
      </c>
      <c r="G345" s="7" t="s">
        <v>15</v>
      </c>
      <c r="H345" s="8" t="s">
        <v>1109</v>
      </c>
      <c r="I345" s="3" t="s">
        <v>65</v>
      </c>
      <c r="J345" s="5" t="s">
        <v>1110</v>
      </c>
    </row>
    <row r="346" customFormat="false" ht="15" hidden="false" customHeight="false" outlineLevel="0" collapsed="false">
      <c r="A346" s="3" t="n">
        <v>345</v>
      </c>
      <c r="B346" s="4" t="s">
        <v>10</v>
      </c>
      <c r="C346" s="3" t="s">
        <v>1084</v>
      </c>
      <c r="D346" s="5" t="s">
        <v>1085</v>
      </c>
      <c r="E346" s="5" t="s">
        <v>1104</v>
      </c>
      <c r="F346" s="9" t="s">
        <v>1111</v>
      </c>
      <c r="G346" s="7" t="s">
        <v>15</v>
      </c>
      <c r="H346" s="8" t="s">
        <v>1112</v>
      </c>
      <c r="I346" s="3" t="s">
        <v>21</v>
      </c>
      <c r="J346" s="5" t="s">
        <v>1113</v>
      </c>
    </row>
    <row r="347" customFormat="false" ht="15" hidden="false" customHeight="false" outlineLevel="0" collapsed="false">
      <c r="A347" s="3" t="n">
        <v>346</v>
      </c>
      <c r="B347" s="4" t="s">
        <v>10</v>
      </c>
      <c r="C347" s="3" t="s">
        <v>1084</v>
      </c>
      <c r="D347" s="5" t="s">
        <v>1085</v>
      </c>
      <c r="E347" s="5" t="s">
        <v>1104</v>
      </c>
      <c r="F347" s="9" t="s">
        <v>1114</v>
      </c>
      <c r="G347" s="7" t="s">
        <v>15</v>
      </c>
      <c r="H347" s="8" t="s">
        <v>1115</v>
      </c>
      <c r="I347" s="3" t="s">
        <v>21</v>
      </c>
      <c r="J347" s="5" t="s">
        <v>1116</v>
      </c>
    </row>
    <row r="348" customFormat="false" ht="15" hidden="false" customHeight="false" outlineLevel="0" collapsed="false">
      <c r="A348" s="3" t="n">
        <v>347</v>
      </c>
      <c r="B348" s="4" t="s">
        <v>10</v>
      </c>
      <c r="C348" s="3" t="s">
        <v>1084</v>
      </c>
      <c r="D348" s="5" t="s">
        <v>1085</v>
      </c>
      <c r="E348" s="5" t="s">
        <v>1104</v>
      </c>
      <c r="F348" s="9" t="s">
        <v>1117</v>
      </c>
      <c r="G348" s="7" t="s">
        <v>15</v>
      </c>
      <c r="H348" s="8" t="s">
        <v>1118</v>
      </c>
      <c r="I348" s="3" t="s">
        <v>108</v>
      </c>
      <c r="J348" s="10" t="s">
        <v>1119</v>
      </c>
    </row>
    <row r="349" customFormat="false" ht="15" hidden="false" customHeight="false" outlineLevel="0" collapsed="false">
      <c r="A349" s="3" t="n">
        <v>348</v>
      </c>
      <c r="B349" s="4" t="s">
        <v>10</v>
      </c>
      <c r="C349" s="3" t="s">
        <v>1084</v>
      </c>
      <c r="D349" s="5" t="s">
        <v>1085</v>
      </c>
      <c r="E349" s="5" t="s">
        <v>1104</v>
      </c>
      <c r="F349" s="9" t="s">
        <v>1120</v>
      </c>
      <c r="G349" s="7" t="s">
        <v>15</v>
      </c>
      <c r="H349" s="8" t="s">
        <v>1121</v>
      </c>
      <c r="I349" s="3" t="s">
        <v>17</v>
      </c>
      <c r="J349" s="5" t="s">
        <v>1122</v>
      </c>
    </row>
    <row r="350" customFormat="false" ht="15" hidden="false" customHeight="false" outlineLevel="0" collapsed="false">
      <c r="A350" s="3" t="n">
        <v>349</v>
      </c>
      <c r="B350" s="4" t="s">
        <v>10</v>
      </c>
      <c r="C350" s="3" t="s">
        <v>1084</v>
      </c>
      <c r="D350" s="5" t="s">
        <v>1085</v>
      </c>
      <c r="E350" s="5" t="s">
        <v>1123</v>
      </c>
      <c r="F350" s="9" t="s">
        <v>1124</v>
      </c>
      <c r="G350" s="12" t="s">
        <v>168</v>
      </c>
      <c r="H350" s="13" t="s">
        <v>169</v>
      </c>
      <c r="I350" s="3" t="s">
        <v>169</v>
      </c>
      <c r="J350" s="5" t="s">
        <v>1125</v>
      </c>
    </row>
    <row r="351" customFormat="false" ht="15" hidden="false" customHeight="false" outlineLevel="0" collapsed="false">
      <c r="A351" s="3" t="n">
        <v>350</v>
      </c>
      <c r="B351" s="4" t="s">
        <v>10</v>
      </c>
      <c r="C351" s="3" t="s">
        <v>1084</v>
      </c>
      <c r="D351" s="5" t="s">
        <v>1085</v>
      </c>
      <c r="E351" s="5" t="s">
        <v>1123</v>
      </c>
      <c r="F351" s="9" t="s">
        <v>1126</v>
      </c>
      <c r="G351" s="7" t="s">
        <v>15</v>
      </c>
      <c r="H351" s="8" t="s">
        <v>1127</v>
      </c>
      <c r="I351" s="3" t="s">
        <v>57</v>
      </c>
      <c r="J351" s="10" t="s">
        <v>1128</v>
      </c>
    </row>
    <row r="352" customFormat="false" ht="15" hidden="false" customHeight="false" outlineLevel="0" collapsed="false">
      <c r="A352" s="3" t="n">
        <v>351</v>
      </c>
      <c r="B352" s="4" t="s">
        <v>10</v>
      </c>
      <c r="C352" s="3" t="s">
        <v>1084</v>
      </c>
      <c r="D352" s="5" t="s">
        <v>1085</v>
      </c>
      <c r="E352" s="5" t="s">
        <v>1123</v>
      </c>
      <c r="F352" s="9" t="s">
        <v>1129</v>
      </c>
      <c r="G352" s="12" t="s">
        <v>168</v>
      </c>
      <c r="H352" s="13" t="s">
        <v>169</v>
      </c>
      <c r="I352" s="3" t="s">
        <v>169</v>
      </c>
      <c r="J352" s="5" t="s">
        <v>1130</v>
      </c>
    </row>
    <row r="353" customFormat="false" ht="15" hidden="false" customHeight="false" outlineLevel="0" collapsed="false">
      <c r="A353" s="3" t="n">
        <v>352</v>
      </c>
      <c r="B353" s="4" t="s">
        <v>10</v>
      </c>
      <c r="C353" s="3" t="s">
        <v>1084</v>
      </c>
      <c r="D353" s="5" t="s">
        <v>1085</v>
      </c>
      <c r="E353" s="5" t="s">
        <v>1123</v>
      </c>
      <c r="F353" s="9" t="s">
        <v>1131</v>
      </c>
      <c r="G353" s="12" t="s">
        <v>168</v>
      </c>
      <c r="H353" s="13" t="s">
        <v>169</v>
      </c>
      <c r="I353" s="3" t="s">
        <v>169</v>
      </c>
      <c r="J353" s="5" t="s">
        <v>1132</v>
      </c>
    </row>
    <row r="354" customFormat="false" ht="15" hidden="false" customHeight="false" outlineLevel="0" collapsed="false">
      <c r="A354" s="3" t="n">
        <v>353</v>
      </c>
      <c r="B354" s="4" t="s">
        <v>10</v>
      </c>
      <c r="C354" s="3" t="s">
        <v>1084</v>
      </c>
      <c r="D354" s="5" t="s">
        <v>1085</v>
      </c>
      <c r="E354" s="5" t="s">
        <v>1123</v>
      </c>
      <c r="F354" s="9" t="s">
        <v>1133</v>
      </c>
      <c r="G354" s="7" t="s">
        <v>15</v>
      </c>
      <c r="H354" s="8" t="s">
        <v>1134</v>
      </c>
      <c r="I354" s="3" t="s">
        <v>21</v>
      </c>
      <c r="J354" s="5" t="s">
        <v>1135</v>
      </c>
    </row>
    <row r="355" customFormat="false" ht="15" hidden="false" customHeight="false" outlineLevel="0" collapsed="false">
      <c r="A355" s="3" t="n">
        <v>354</v>
      </c>
      <c r="B355" s="4" t="s">
        <v>10</v>
      </c>
      <c r="C355" s="3" t="s">
        <v>1084</v>
      </c>
      <c r="D355" s="5" t="s">
        <v>1085</v>
      </c>
      <c r="E355" s="5" t="s">
        <v>1123</v>
      </c>
      <c r="F355" s="9" t="s">
        <v>1136</v>
      </c>
      <c r="G355" s="12" t="s">
        <v>168</v>
      </c>
      <c r="H355" s="13" t="s">
        <v>169</v>
      </c>
      <c r="I355" s="3" t="s">
        <v>169</v>
      </c>
      <c r="J355" s="5" t="s">
        <v>1137</v>
      </c>
    </row>
    <row r="356" customFormat="false" ht="15" hidden="false" customHeight="false" outlineLevel="0" collapsed="false">
      <c r="A356" s="3" t="n">
        <v>355</v>
      </c>
      <c r="B356" s="4" t="s">
        <v>10</v>
      </c>
      <c r="C356" s="3" t="s">
        <v>1084</v>
      </c>
      <c r="D356" s="5" t="s">
        <v>1085</v>
      </c>
      <c r="E356" s="5" t="s">
        <v>1138</v>
      </c>
      <c r="F356" s="9" t="s">
        <v>1139</v>
      </c>
      <c r="G356" s="7" t="s">
        <v>15</v>
      </c>
      <c r="H356" s="8" t="s">
        <v>1140</v>
      </c>
      <c r="I356" s="3" t="s">
        <v>53</v>
      </c>
      <c r="J356" s="5" t="s">
        <v>1141</v>
      </c>
    </row>
    <row r="357" customFormat="false" ht="15" hidden="false" customHeight="false" outlineLevel="0" collapsed="false">
      <c r="A357" s="3" t="n">
        <v>356</v>
      </c>
      <c r="B357" s="4" t="s">
        <v>10</v>
      </c>
      <c r="C357" s="3" t="s">
        <v>1084</v>
      </c>
      <c r="D357" s="5" t="s">
        <v>1085</v>
      </c>
      <c r="E357" s="5" t="s">
        <v>1138</v>
      </c>
      <c r="F357" s="9" t="s">
        <v>1142</v>
      </c>
      <c r="G357" s="7" t="s">
        <v>15</v>
      </c>
      <c r="H357" s="8" t="s">
        <v>1143</v>
      </c>
      <c r="I357" s="3" t="s">
        <v>142</v>
      </c>
      <c r="J357" s="5" t="s">
        <v>1144</v>
      </c>
    </row>
    <row r="358" customFormat="false" ht="15" hidden="false" customHeight="false" outlineLevel="0" collapsed="false">
      <c r="A358" s="3" t="n">
        <v>357</v>
      </c>
      <c r="B358" s="4" t="s">
        <v>10</v>
      </c>
      <c r="C358" s="3" t="s">
        <v>1084</v>
      </c>
      <c r="D358" s="5" t="s">
        <v>1085</v>
      </c>
      <c r="E358" s="5" t="s">
        <v>1138</v>
      </c>
      <c r="F358" s="9" t="s">
        <v>1145</v>
      </c>
      <c r="G358" s="7" t="s">
        <v>15</v>
      </c>
      <c r="H358" s="8" t="s">
        <v>1146</v>
      </c>
      <c r="I358" s="3" t="s">
        <v>80</v>
      </c>
      <c r="J358" s="5" t="s">
        <v>1147</v>
      </c>
    </row>
    <row r="359" customFormat="false" ht="15" hidden="false" customHeight="false" outlineLevel="0" collapsed="false">
      <c r="A359" s="3" t="n">
        <v>358</v>
      </c>
      <c r="B359" s="4" t="s">
        <v>10</v>
      </c>
      <c r="C359" s="3" t="s">
        <v>1084</v>
      </c>
      <c r="D359" s="5" t="s">
        <v>1085</v>
      </c>
      <c r="E359" s="5" t="s">
        <v>1138</v>
      </c>
      <c r="F359" s="9" t="s">
        <v>1148</v>
      </c>
      <c r="G359" s="7" t="s">
        <v>15</v>
      </c>
      <c r="H359" s="8" t="s">
        <v>1149</v>
      </c>
      <c r="I359" s="3" t="s">
        <v>108</v>
      </c>
      <c r="J359" s="5" t="s">
        <v>1150</v>
      </c>
    </row>
    <row r="360" customFormat="false" ht="15" hidden="false" customHeight="false" outlineLevel="0" collapsed="false">
      <c r="A360" s="3" t="n">
        <v>359</v>
      </c>
      <c r="B360" s="4" t="s">
        <v>10</v>
      </c>
      <c r="C360" s="3" t="s">
        <v>1084</v>
      </c>
      <c r="D360" s="5" t="s">
        <v>1085</v>
      </c>
      <c r="E360" s="5" t="s">
        <v>1138</v>
      </c>
      <c r="F360" s="9" t="s">
        <v>1151</v>
      </c>
      <c r="G360" s="7" t="s">
        <v>15</v>
      </c>
      <c r="H360" s="8" t="s">
        <v>1152</v>
      </c>
      <c r="I360" s="3" t="s">
        <v>57</v>
      </c>
      <c r="J360" s="10" t="s">
        <v>1153</v>
      </c>
    </row>
    <row r="361" customFormat="false" ht="15" hidden="false" customHeight="false" outlineLevel="0" collapsed="false">
      <c r="A361" s="3" t="n">
        <v>360</v>
      </c>
      <c r="B361" s="4" t="s">
        <v>10</v>
      </c>
      <c r="C361" s="3" t="s">
        <v>1084</v>
      </c>
      <c r="D361" s="5" t="s">
        <v>1085</v>
      </c>
      <c r="E361" s="5" t="s">
        <v>1138</v>
      </c>
      <c r="F361" s="9" t="s">
        <v>1154</v>
      </c>
      <c r="G361" s="7" t="s">
        <v>15</v>
      </c>
      <c r="H361" s="8" t="s">
        <v>1155</v>
      </c>
      <c r="I361" s="3" t="s">
        <v>57</v>
      </c>
      <c r="J361" s="10" t="s">
        <v>1156</v>
      </c>
    </row>
    <row r="362" customFormat="false" ht="15" hidden="false" customHeight="false" outlineLevel="0" collapsed="false">
      <c r="A362" s="3" t="n">
        <v>361</v>
      </c>
      <c r="B362" s="4" t="s">
        <v>10</v>
      </c>
      <c r="C362" s="3" t="s">
        <v>1084</v>
      </c>
      <c r="D362" s="5" t="s">
        <v>1085</v>
      </c>
      <c r="E362" s="5" t="s">
        <v>1157</v>
      </c>
      <c r="F362" s="9" t="s">
        <v>1158</v>
      </c>
      <c r="G362" s="7" t="s">
        <v>15</v>
      </c>
      <c r="H362" s="8" t="s">
        <v>1159</v>
      </c>
      <c r="I362" s="3" t="s">
        <v>21</v>
      </c>
      <c r="J362" s="5" t="s">
        <v>1160</v>
      </c>
    </row>
    <row r="363" customFormat="false" ht="15" hidden="false" customHeight="false" outlineLevel="0" collapsed="false">
      <c r="A363" s="3" t="n">
        <v>362</v>
      </c>
      <c r="B363" s="4" t="s">
        <v>10</v>
      </c>
      <c r="C363" s="3" t="s">
        <v>1084</v>
      </c>
      <c r="D363" s="5" t="s">
        <v>1085</v>
      </c>
      <c r="E363" s="5" t="s">
        <v>1157</v>
      </c>
      <c r="F363" s="9" t="s">
        <v>1161</v>
      </c>
      <c r="G363" s="7" t="s">
        <v>15</v>
      </c>
      <c r="H363" s="8" t="s">
        <v>1162</v>
      </c>
      <c r="I363" s="3" t="s">
        <v>125</v>
      </c>
      <c r="J363" s="5" t="s">
        <v>1163</v>
      </c>
    </row>
    <row r="364" customFormat="false" ht="15" hidden="false" customHeight="false" outlineLevel="0" collapsed="false">
      <c r="A364" s="3" t="n">
        <v>363</v>
      </c>
      <c r="B364" s="4" t="s">
        <v>10</v>
      </c>
      <c r="C364" s="3" t="s">
        <v>1084</v>
      </c>
      <c r="D364" s="5" t="s">
        <v>1085</v>
      </c>
      <c r="E364" s="5" t="s">
        <v>1157</v>
      </c>
      <c r="F364" s="6" t="s">
        <v>1164</v>
      </c>
      <c r="G364" s="7" t="s">
        <v>15</v>
      </c>
      <c r="H364" s="8" t="s">
        <v>1165</v>
      </c>
      <c r="I364" s="3" t="s">
        <v>57</v>
      </c>
      <c r="J364" s="10" t="s">
        <v>1166</v>
      </c>
    </row>
    <row r="365" customFormat="false" ht="15" hidden="false" customHeight="false" outlineLevel="0" collapsed="false">
      <c r="A365" s="3" t="n">
        <v>364</v>
      </c>
      <c r="B365" s="4" t="s">
        <v>10</v>
      </c>
      <c r="C365" s="3" t="s">
        <v>1084</v>
      </c>
      <c r="D365" s="5" t="s">
        <v>1085</v>
      </c>
      <c r="E365" s="5" t="s">
        <v>1157</v>
      </c>
      <c r="F365" s="9" t="s">
        <v>1167</v>
      </c>
      <c r="G365" s="7" t="s">
        <v>15</v>
      </c>
      <c r="H365" s="8" t="s">
        <v>1168</v>
      </c>
      <c r="I365" s="3" t="s">
        <v>1169</v>
      </c>
      <c r="J365" s="5" t="s">
        <v>1170</v>
      </c>
    </row>
    <row r="366" customFormat="false" ht="15" hidden="false" customHeight="false" outlineLevel="0" collapsed="false">
      <c r="A366" s="3" t="n">
        <v>365</v>
      </c>
      <c r="B366" s="4" t="s">
        <v>10</v>
      </c>
      <c r="C366" s="3" t="s">
        <v>1084</v>
      </c>
      <c r="D366" s="5" t="s">
        <v>1085</v>
      </c>
      <c r="E366" s="5" t="s">
        <v>1157</v>
      </c>
      <c r="F366" s="9" t="s">
        <v>1171</v>
      </c>
      <c r="G366" s="7" t="s">
        <v>15</v>
      </c>
      <c r="H366" s="8" t="s">
        <v>1172</v>
      </c>
      <c r="I366" s="3" t="s">
        <v>57</v>
      </c>
      <c r="J366" s="10" t="s">
        <v>1173</v>
      </c>
    </row>
    <row r="367" customFormat="false" ht="15" hidden="false" customHeight="false" outlineLevel="0" collapsed="false">
      <c r="A367" s="3" t="n">
        <v>366</v>
      </c>
      <c r="B367" s="4" t="s">
        <v>10</v>
      </c>
      <c r="C367" s="3" t="s">
        <v>1084</v>
      </c>
      <c r="D367" s="5" t="s">
        <v>1085</v>
      </c>
      <c r="E367" s="5" t="s">
        <v>1157</v>
      </c>
      <c r="F367" s="9" t="s">
        <v>931</v>
      </c>
      <c r="G367" s="7" t="s">
        <v>15</v>
      </c>
      <c r="H367" s="8" t="s">
        <v>1174</v>
      </c>
      <c r="I367" s="3" t="s">
        <v>142</v>
      </c>
      <c r="J367" s="5" t="s">
        <v>1175</v>
      </c>
    </row>
    <row r="368" customFormat="false" ht="15" hidden="false" customHeight="false" outlineLevel="0" collapsed="false">
      <c r="A368" s="3" t="n">
        <v>367</v>
      </c>
      <c r="B368" s="4" t="s">
        <v>10</v>
      </c>
      <c r="C368" s="3" t="s">
        <v>1084</v>
      </c>
      <c r="D368" s="5" t="s">
        <v>1085</v>
      </c>
      <c r="E368" s="5" t="s">
        <v>1176</v>
      </c>
      <c r="F368" s="6" t="s">
        <v>1177</v>
      </c>
      <c r="G368" s="7" t="s">
        <v>15</v>
      </c>
      <c r="H368" s="8" t="s">
        <v>1178</v>
      </c>
      <c r="I368" s="3" t="s">
        <v>57</v>
      </c>
      <c r="J368" s="10" t="s">
        <v>1179</v>
      </c>
    </row>
    <row r="369" customFormat="false" ht="15" hidden="false" customHeight="false" outlineLevel="0" collapsed="false">
      <c r="A369" s="3" t="n">
        <v>368</v>
      </c>
      <c r="B369" s="4" t="s">
        <v>10</v>
      </c>
      <c r="C369" s="3" t="s">
        <v>1084</v>
      </c>
      <c r="D369" s="5" t="s">
        <v>1085</v>
      </c>
      <c r="E369" s="5" t="s">
        <v>1176</v>
      </c>
      <c r="F369" s="9" t="s">
        <v>1180</v>
      </c>
      <c r="G369" s="7" t="s">
        <v>15</v>
      </c>
      <c r="H369" s="8" t="s">
        <v>1181</v>
      </c>
      <c r="I369" s="3" t="s">
        <v>80</v>
      </c>
      <c r="J369" s="5" t="s">
        <v>1182</v>
      </c>
    </row>
    <row r="370" customFormat="false" ht="15" hidden="false" customHeight="false" outlineLevel="0" collapsed="false">
      <c r="A370" s="3" t="n">
        <v>369</v>
      </c>
      <c r="B370" s="4" t="s">
        <v>10</v>
      </c>
      <c r="C370" s="3" t="s">
        <v>1084</v>
      </c>
      <c r="D370" s="5" t="s">
        <v>1085</v>
      </c>
      <c r="E370" s="5" t="s">
        <v>1176</v>
      </c>
      <c r="F370" s="9" t="s">
        <v>1183</v>
      </c>
      <c r="G370" s="7" t="s">
        <v>15</v>
      </c>
      <c r="H370" s="8" t="s">
        <v>1184</v>
      </c>
      <c r="I370" s="3" t="s">
        <v>21</v>
      </c>
      <c r="J370" s="5" t="s">
        <v>1185</v>
      </c>
    </row>
    <row r="371" customFormat="false" ht="15" hidden="false" customHeight="false" outlineLevel="0" collapsed="false">
      <c r="A371" s="3" t="n">
        <v>370</v>
      </c>
      <c r="B371" s="4" t="s">
        <v>10</v>
      </c>
      <c r="C371" s="3" t="s">
        <v>1084</v>
      </c>
      <c r="D371" s="5" t="s">
        <v>1085</v>
      </c>
      <c r="E371" s="5" t="s">
        <v>1176</v>
      </c>
      <c r="F371" s="9" t="s">
        <v>1186</v>
      </c>
      <c r="G371" s="7" t="s">
        <v>15</v>
      </c>
      <c r="H371" s="8" t="s">
        <v>1187</v>
      </c>
      <c r="I371" s="3" t="s">
        <v>125</v>
      </c>
      <c r="J371" s="5" t="s">
        <v>1188</v>
      </c>
    </row>
    <row r="372" customFormat="false" ht="15" hidden="false" customHeight="false" outlineLevel="0" collapsed="false">
      <c r="A372" s="3" t="n">
        <v>371</v>
      </c>
      <c r="B372" s="4" t="s">
        <v>10</v>
      </c>
      <c r="C372" s="3" t="s">
        <v>1084</v>
      </c>
      <c r="D372" s="5" t="s">
        <v>1085</v>
      </c>
      <c r="E372" s="5" t="s">
        <v>1176</v>
      </c>
      <c r="F372" s="9" t="s">
        <v>1189</v>
      </c>
      <c r="G372" s="7" t="s">
        <v>15</v>
      </c>
      <c r="H372" s="8" t="s">
        <v>1190</v>
      </c>
      <c r="I372" s="3" t="s">
        <v>108</v>
      </c>
      <c r="J372" s="5" t="s">
        <v>1191</v>
      </c>
    </row>
    <row r="373" customFormat="false" ht="15" hidden="false" customHeight="false" outlineLevel="0" collapsed="false">
      <c r="A373" s="3" t="n">
        <v>372</v>
      </c>
      <c r="B373" s="4" t="s">
        <v>10</v>
      </c>
      <c r="C373" s="3" t="s">
        <v>1084</v>
      </c>
      <c r="D373" s="5" t="s">
        <v>1085</v>
      </c>
      <c r="E373" s="5" t="s">
        <v>1176</v>
      </c>
      <c r="F373" s="9" t="s">
        <v>1192</v>
      </c>
      <c r="G373" s="7" t="s">
        <v>15</v>
      </c>
      <c r="H373" s="8" t="s">
        <v>1193</v>
      </c>
      <c r="I373" s="3" t="s">
        <v>21</v>
      </c>
      <c r="J373" s="5" t="s">
        <v>1194</v>
      </c>
    </row>
    <row r="374" customFormat="false" ht="15" hidden="false" customHeight="false" outlineLevel="0" collapsed="false">
      <c r="A374" s="3" t="n">
        <v>373</v>
      </c>
      <c r="B374" s="4" t="s">
        <v>10</v>
      </c>
      <c r="C374" s="3" t="s">
        <v>1084</v>
      </c>
      <c r="D374" s="5" t="s">
        <v>1085</v>
      </c>
      <c r="E374" s="5" t="s">
        <v>1195</v>
      </c>
      <c r="F374" s="9" t="s">
        <v>1196</v>
      </c>
      <c r="G374" s="11" t="s">
        <v>111</v>
      </c>
      <c r="H374" s="8" t="s">
        <v>1197</v>
      </c>
      <c r="I374" s="3" t="s">
        <v>681</v>
      </c>
      <c r="J374" s="5" t="s">
        <v>1198</v>
      </c>
    </row>
    <row r="375" customFormat="false" ht="15" hidden="false" customHeight="false" outlineLevel="0" collapsed="false">
      <c r="A375" s="3" t="n">
        <v>374</v>
      </c>
      <c r="B375" s="4" t="s">
        <v>10</v>
      </c>
      <c r="C375" s="3" t="s">
        <v>1084</v>
      </c>
      <c r="D375" s="5" t="s">
        <v>1085</v>
      </c>
      <c r="E375" s="5" t="s">
        <v>1195</v>
      </c>
      <c r="F375" s="9" t="s">
        <v>1199</v>
      </c>
      <c r="G375" s="11" t="s">
        <v>111</v>
      </c>
      <c r="H375" s="8" t="s">
        <v>1200</v>
      </c>
      <c r="I375" s="3" t="s">
        <v>331</v>
      </c>
      <c r="J375" s="5" t="s">
        <v>1201</v>
      </c>
    </row>
    <row r="376" customFormat="false" ht="15" hidden="false" customHeight="false" outlineLevel="0" collapsed="false">
      <c r="A376" s="3" t="n">
        <v>375</v>
      </c>
      <c r="B376" s="4" t="s">
        <v>10</v>
      </c>
      <c r="C376" s="3" t="s">
        <v>1084</v>
      </c>
      <c r="D376" s="5" t="s">
        <v>1085</v>
      </c>
      <c r="E376" s="5" t="s">
        <v>1195</v>
      </c>
      <c r="F376" s="9" t="s">
        <v>1202</v>
      </c>
      <c r="G376" s="11" t="s">
        <v>111</v>
      </c>
      <c r="H376" s="8" t="s">
        <v>1203</v>
      </c>
      <c r="I376" s="3" t="s">
        <v>331</v>
      </c>
      <c r="J376" s="5" t="s">
        <v>1204</v>
      </c>
    </row>
    <row r="377" customFormat="false" ht="15" hidden="false" customHeight="false" outlineLevel="0" collapsed="false">
      <c r="A377" s="3" t="n">
        <v>376</v>
      </c>
      <c r="B377" s="4" t="s">
        <v>10</v>
      </c>
      <c r="C377" s="3" t="s">
        <v>1084</v>
      </c>
      <c r="D377" s="5" t="s">
        <v>1085</v>
      </c>
      <c r="E377" s="5" t="s">
        <v>1195</v>
      </c>
      <c r="F377" s="9" t="s">
        <v>1205</v>
      </c>
      <c r="G377" s="11" t="s">
        <v>111</v>
      </c>
      <c r="H377" s="8" t="s">
        <v>1206</v>
      </c>
      <c r="I377" s="3" t="s">
        <v>331</v>
      </c>
      <c r="J377" s="5" t="s">
        <v>1207</v>
      </c>
    </row>
    <row r="378" customFormat="false" ht="15" hidden="false" customHeight="false" outlineLevel="0" collapsed="false">
      <c r="A378" s="3" t="n">
        <v>377</v>
      </c>
      <c r="B378" s="4" t="s">
        <v>10</v>
      </c>
      <c r="C378" s="3" t="s">
        <v>1084</v>
      </c>
      <c r="D378" s="5" t="s">
        <v>1085</v>
      </c>
      <c r="E378" s="5" t="s">
        <v>1195</v>
      </c>
      <c r="F378" s="9" t="s">
        <v>1208</v>
      </c>
      <c r="G378" s="11" t="s">
        <v>111</v>
      </c>
      <c r="H378" s="8" t="s">
        <v>1209</v>
      </c>
      <c r="I378" s="3" t="s">
        <v>331</v>
      </c>
      <c r="J378" s="5" t="s">
        <v>1210</v>
      </c>
    </row>
    <row r="379" customFormat="false" ht="15" hidden="false" customHeight="false" outlineLevel="0" collapsed="false">
      <c r="A379" s="3" t="n">
        <v>378</v>
      </c>
      <c r="B379" s="4" t="s">
        <v>10</v>
      </c>
      <c r="C379" s="3" t="s">
        <v>1084</v>
      </c>
      <c r="D379" s="5" t="s">
        <v>1085</v>
      </c>
      <c r="E379" s="5" t="s">
        <v>1195</v>
      </c>
      <c r="F379" s="9" t="s">
        <v>1211</v>
      </c>
      <c r="G379" s="11" t="s">
        <v>111</v>
      </c>
      <c r="H379" s="8" t="s">
        <v>1212</v>
      </c>
      <c r="I379" s="3" t="s">
        <v>53</v>
      </c>
      <c r="J379" s="5" t="s">
        <v>1213</v>
      </c>
    </row>
    <row r="380" customFormat="false" ht="15" hidden="false" customHeight="false" outlineLevel="0" collapsed="false">
      <c r="A380" s="3" t="n">
        <v>379</v>
      </c>
      <c r="B380" s="4" t="s">
        <v>10</v>
      </c>
      <c r="C380" s="3" t="s">
        <v>1084</v>
      </c>
      <c r="D380" s="5" t="s">
        <v>1085</v>
      </c>
      <c r="E380" s="5" t="s">
        <v>1214</v>
      </c>
      <c r="F380" s="6" t="s">
        <v>1215</v>
      </c>
      <c r="G380" s="12" t="s">
        <v>168</v>
      </c>
      <c r="H380" s="13" t="s">
        <v>169</v>
      </c>
      <c r="I380" s="3" t="s">
        <v>169</v>
      </c>
      <c r="J380" s="5" t="s">
        <v>1216</v>
      </c>
    </row>
    <row r="381" customFormat="false" ht="15" hidden="false" customHeight="false" outlineLevel="0" collapsed="false">
      <c r="A381" s="3" t="n">
        <v>380</v>
      </c>
      <c r="B381" s="4" t="s">
        <v>10</v>
      </c>
      <c r="C381" s="3" t="s">
        <v>1084</v>
      </c>
      <c r="D381" s="5" t="s">
        <v>1085</v>
      </c>
      <c r="E381" s="5" t="s">
        <v>1214</v>
      </c>
      <c r="F381" s="9" t="s">
        <v>1217</v>
      </c>
      <c r="G381" s="11" t="s">
        <v>111</v>
      </c>
      <c r="H381" s="8" t="s">
        <v>1218</v>
      </c>
      <c r="I381" s="3" t="s">
        <v>57</v>
      </c>
      <c r="J381" s="5" t="s">
        <v>1219</v>
      </c>
    </row>
    <row r="382" customFormat="false" ht="15" hidden="false" customHeight="false" outlineLevel="0" collapsed="false">
      <c r="A382" s="3" t="n">
        <v>381</v>
      </c>
      <c r="B382" s="4" t="s">
        <v>10</v>
      </c>
      <c r="C382" s="3" t="s">
        <v>1084</v>
      </c>
      <c r="D382" s="5" t="s">
        <v>1085</v>
      </c>
      <c r="E382" s="5" t="s">
        <v>1214</v>
      </c>
      <c r="F382" s="9" t="s">
        <v>1220</v>
      </c>
      <c r="G382" s="7" t="s">
        <v>15</v>
      </c>
      <c r="H382" s="8" t="s">
        <v>1221</v>
      </c>
      <c r="I382" s="3" t="s">
        <v>57</v>
      </c>
      <c r="J382" s="10" t="s">
        <v>1222</v>
      </c>
    </row>
    <row r="383" customFormat="false" ht="15" hidden="false" customHeight="false" outlineLevel="0" collapsed="false">
      <c r="A383" s="3" t="n">
        <v>382</v>
      </c>
      <c r="B383" s="4" t="s">
        <v>10</v>
      </c>
      <c r="C383" s="3" t="s">
        <v>1084</v>
      </c>
      <c r="D383" s="5" t="s">
        <v>1085</v>
      </c>
      <c r="E383" s="5" t="s">
        <v>1214</v>
      </c>
      <c r="F383" s="9" t="s">
        <v>1223</v>
      </c>
      <c r="G383" s="7" t="s">
        <v>15</v>
      </c>
      <c r="H383" s="8" t="s">
        <v>1224</v>
      </c>
      <c r="I383" s="3" t="s">
        <v>21</v>
      </c>
      <c r="J383" s="5" t="s">
        <v>1225</v>
      </c>
    </row>
    <row r="384" customFormat="false" ht="15" hidden="false" customHeight="false" outlineLevel="0" collapsed="false">
      <c r="A384" s="3" t="n">
        <v>383</v>
      </c>
      <c r="B384" s="4" t="s">
        <v>10</v>
      </c>
      <c r="C384" s="3" t="s">
        <v>1084</v>
      </c>
      <c r="D384" s="5" t="s">
        <v>1085</v>
      </c>
      <c r="E384" s="5" t="s">
        <v>1214</v>
      </c>
      <c r="F384" s="9" t="s">
        <v>1226</v>
      </c>
      <c r="G384" s="12" t="s">
        <v>168</v>
      </c>
      <c r="H384" s="13" t="s">
        <v>169</v>
      </c>
      <c r="I384" s="3" t="s">
        <v>169</v>
      </c>
      <c r="J384" s="10" t="s">
        <v>1227</v>
      </c>
    </row>
    <row r="385" customFormat="false" ht="15" hidden="false" customHeight="false" outlineLevel="0" collapsed="false">
      <c r="A385" s="3" t="n">
        <v>384</v>
      </c>
      <c r="B385" s="4" t="s">
        <v>10</v>
      </c>
      <c r="C385" s="3" t="s">
        <v>1084</v>
      </c>
      <c r="D385" s="5" t="s">
        <v>1085</v>
      </c>
      <c r="E385" s="5" t="s">
        <v>1214</v>
      </c>
      <c r="F385" s="9" t="s">
        <v>1228</v>
      </c>
      <c r="G385" s="7" t="s">
        <v>15</v>
      </c>
      <c r="H385" s="8" t="s">
        <v>1229</v>
      </c>
      <c r="I385" s="3" t="s">
        <v>142</v>
      </c>
      <c r="J385" s="5" t="s">
        <v>1230</v>
      </c>
    </row>
    <row r="386" customFormat="false" ht="15" hidden="false" customHeight="false" outlineLevel="0" collapsed="false">
      <c r="A386" s="3" t="n">
        <v>385</v>
      </c>
      <c r="B386" s="4" t="s">
        <v>10</v>
      </c>
      <c r="C386" s="3" t="s">
        <v>1231</v>
      </c>
      <c r="D386" s="5" t="s">
        <v>1232</v>
      </c>
      <c r="E386" s="5" t="s">
        <v>1233</v>
      </c>
      <c r="F386" s="9" t="s">
        <v>1234</v>
      </c>
      <c r="G386" s="7" t="s">
        <v>15</v>
      </c>
      <c r="H386" s="8" t="s">
        <v>1235</v>
      </c>
      <c r="I386" s="3" t="s">
        <v>21</v>
      </c>
      <c r="J386" s="5" t="s">
        <v>1236</v>
      </c>
    </row>
    <row r="387" customFormat="false" ht="15" hidden="false" customHeight="false" outlineLevel="0" collapsed="false">
      <c r="A387" s="3" t="n">
        <v>386</v>
      </c>
      <c r="B387" s="4" t="s">
        <v>10</v>
      </c>
      <c r="C387" s="3" t="s">
        <v>1231</v>
      </c>
      <c r="D387" s="5" t="s">
        <v>1232</v>
      </c>
      <c r="E387" s="5" t="s">
        <v>1233</v>
      </c>
      <c r="F387" s="9" t="s">
        <v>1237</v>
      </c>
      <c r="G387" s="7" t="s">
        <v>15</v>
      </c>
      <c r="H387" s="8" t="s">
        <v>1238</v>
      </c>
      <c r="I387" s="3" t="s">
        <v>57</v>
      </c>
      <c r="J387" s="10" t="s">
        <v>1239</v>
      </c>
    </row>
    <row r="388" customFormat="false" ht="15" hidden="false" customHeight="false" outlineLevel="0" collapsed="false">
      <c r="A388" s="3" t="n">
        <v>387</v>
      </c>
      <c r="B388" s="4" t="s">
        <v>10</v>
      </c>
      <c r="C388" s="3" t="s">
        <v>1231</v>
      </c>
      <c r="D388" s="5" t="s">
        <v>1232</v>
      </c>
      <c r="E388" s="5" t="s">
        <v>1233</v>
      </c>
      <c r="F388" s="9" t="s">
        <v>1240</v>
      </c>
      <c r="G388" s="7" t="s">
        <v>15</v>
      </c>
      <c r="H388" s="8" t="s">
        <v>1241</v>
      </c>
      <c r="I388" s="3" t="s">
        <v>57</v>
      </c>
      <c r="J388" s="10" t="s">
        <v>1242</v>
      </c>
    </row>
    <row r="389" customFormat="false" ht="15" hidden="false" customHeight="false" outlineLevel="0" collapsed="false">
      <c r="A389" s="3" t="n">
        <v>388</v>
      </c>
      <c r="B389" s="4" t="s">
        <v>10</v>
      </c>
      <c r="C389" s="3" t="s">
        <v>1231</v>
      </c>
      <c r="D389" s="5" t="s">
        <v>1232</v>
      </c>
      <c r="E389" s="5" t="s">
        <v>1233</v>
      </c>
      <c r="F389" s="9" t="s">
        <v>1243</v>
      </c>
      <c r="G389" s="7" t="s">
        <v>15</v>
      </c>
      <c r="H389" s="8" t="s">
        <v>1244</v>
      </c>
      <c r="I389" s="3" t="s">
        <v>57</v>
      </c>
      <c r="J389" s="10" t="s">
        <v>1245</v>
      </c>
    </row>
    <row r="390" customFormat="false" ht="15" hidden="false" customHeight="false" outlineLevel="0" collapsed="false">
      <c r="A390" s="3" t="n">
        <v>389</v>
      </c>
      <c r="B390" s="4" t="s">
        <v>10</v>
      </c>
      <c r="C390" s="3" t="s">
        <v>1231</v>
      </c>
      <c r="D390" s="5" t="s">
        <v>1232</v>
      </c>
      <c r="E390" s="5" t="s">
        <v>1233</v>
      </c>
      <c r="F390" s="9" t="s">
        <v>1246</v>
      </c>
      <c r="G390" s="11" t="s">
        <v>111</v>
      </c>
      <c r="H390" s="8" t="s">
        <v>1247</v>
      </c>
      <c r="I390" s="3" t="s">
        <v>53</v>
      </c>
      <c r="J390" s="5" t="s">
        <v>1248</v>
      </c>
    </row>
    <row r="391" customFormat="false" ht="15" hidden="false" customHeight="false" outlineLevel="0" collapsed="false">
      <c r="A391" s="3" t="n">
        <v>390</v>
      </c>
      <c r="B391" s="4" t="s">
        <v>10</v>
      </c>
      <c r="C391" s="3" t="s">
        <v>1231</v>
      </c>
      <c r="D391" s="5" t="s">
        <v>1232</v>
      </c>
      <c r="E391" s="5" t="s">
        <v>1233</v>
      </c>
      <c r="F391" s="9" t="s">
        <v>1249</v>
      </c>
      <c r="G391" s="12" t="s">
        <v>168</v>
      </c>
      <c r="H391" s="13" t="s">
        <v>169</v>
      </c>
      <c r="I391" s="3" t="s">
        <v>169</v>
      </c>
      <c r="J391" s="5" t="s">
        <v>1250</v>
      </c>
    </row>
    <row r="392" customFormat="false" ht="15" hidden="false" customHeight="false" outlineLevel="0" collapsed="false">
      <c r="A392" s="3" t="n">
        <v>391</v>
      </c>
      <c r="B392" s="4" t="s">
        <v>10</v>
      </c>
      <c r="C392" s="3" t="s">
        <v>1231</v>
      </c>
      <c r="D392" s="5" t="s">
        <v>1232</v>
      </c>
      <c r="E392" s="5" t="s">
        <v>1251</v>
      </c>
      <c r="F392" s="9" t="s">
        <v>1252</v>
      </c>
      <c r="G392" s="7" t="s">
        <v>15</v>
      </c>
      <c r="H392" s="8" t="s">
        <v>1253</v>
      </c>
      <c r="I392" s="3" t="s">
        <v>17</v>
      </c>
      <c r="J392" s="5" t="s">
        <v>1254</v>
      </c>
    </row>
    <row r="393" customFormat="false" ht="15" hidden="false" customHeight="false" outlineLevel="0" collapsed="false">
      <c r="A393" s="3" t="n">
        <v>392</v>
      </c>
      <c r="B393" s="4" t="s">
        <v>10</v>
      </c>
      <c r="C393" s="3" t="s">
        <v>1231</v>
      </c>
      <c r="D393" s="5" t="s">
        <v>1232</v>
      </c>
      <c r="E393" s="5" t="s">
        <v>1251</v>
      </c>
      <c r="F393" s="9" t="s">
        <v>1255</v>
      </c>
      <c r="G393" s="7" t="s">
        <v>15</v>
      </c>
      <c r="H393" s="8" t="s">
        <v>1256</v>
      </c>
      <c r="I393" s="3" t="s">
        <v>17</v>
      </c>
      <c r="J393" s="5" t="s">
        <v>1257</v>
      </c>
    </row>
    <row r="394" customFormat="false" ht="15" hidden="false" customHeight="false" outlineLevel="0" collapsed="false">
      <c r="A394" s="3" t="n">
        <v>393</v>
      </c>
      <c r="B394" s="4" t="s">
        <v>10</v>
      </c>
      <c r="C394" s="3" t="s">
        <v>1231</v>
      </c>
      <c r="D394" s="5" t="s">
        <v>1232</v>
      </c>
      <c r="E394" s="5" t="s">
        <v>1251</v>
      </c>
      <c r="F394" s="9" t="s">
        <v>1258</v>
      </c>
      <c r="G394" s="7" t="s">
        <v>15</v>
      </c>
      <c r="H394" s="8" t="s">
        <v>1259</v>
      </c>
      <c r="I394" s="3" t="s">
        <v>17</v>
      </c>
      <c r="J394" s="5" t="s">
        <v>1260</v>
      </c>
    </row>
    <row r="395" customFormat="false" ht="15" hidden="false" customHeight="false" outlineLevel="0" collapsed="false">
      <c r="A395" s="3" t="n">
        <v>394</v>
      </c>
      <c r="B395" s="4" t="s">
        <v>10</v>
      </c>
      <c r="C395" s="3" t="s">
        <v>1231</v>
      </c>
      <c r="D395" s="5" t="s">
        <v>1232</v>
      </c>
      <c r="E395" s="5" t="s">
        <v>1251</v>
      </c>
      <c r="F395" s="9" t="s">
        <v>1261</v>
      </c>
      <c r="G395" s="7" t="s">
        <v>15</v>
      </c>
      <c r="H395" s="8" t="s">
        <v>1262</v>
      </c>
      <c r="I395" s="3" t="s">
        <v>57</v>
      </c>
      <c r="J395" s="10" t="s">
        <v>1263</v>
      </c>
    </row>
    <row r="396" customFormat="false" ht="15" hidden="false" customHeight="false" outlineLevel="0" collapsed="false">
      <c r="A396" s="3" t="n">
        <v>395</v>
      </c>
      <c r="B396" s="4" t="s">
        <v>10</v>
      </c>
      <c r="C396" s="3" t="s">
        <v>1231</v>
      </c>
      <c r="D396" s="5" t="s">
        <v>1232</v>
      </c>
      <c r="E396" s="5" t="s">
        <v>1251</v>
      </c>
      <c r="F396" s="9" t="s">
        <v>1264</v>
      </c>
      <c r="G396" s="16" t="s">
        <v>303</v>
      </c>
      <c r="H396" s="13" t="s">
        <v>1265</v>
      </c>
      <c r="I396" s="3" t="s">
        <v>21</v>
      </c>
      <c r="J396" s="5" t="s">
        <v>1266</v>
      </c>
    </row>
    <row r="397" customFormat="false" ht="15" hidden="false" customHeight="false" outlineLevel="0" collapsed="false">
      <c r="A397" s="3" t="n">
        <v>396</v>
      </c>
      <c r="B397" s="4" t="s">
        <v>10</v>
      </c>
      <c r="C397" s="3" t="s">
        <v>1231</v>
      </c>
      <c r="D397" s="5" t="s">
        <v>1232</v>
      </c>
      <c r="E397" s="5" t="s">
        <v>1251</v>
      </c>
      <c r="F397" s="9" t="s">
        <v>1267</v>
      </c>
      <c r="G397" s="7" t="s">
        <v>15</v>
      </c>
      <c r="H397" s="8" t="s">
        <v>1268</v>
      </c>
      <c r="I397" s="3" t="s">
        <v>108</v>
      </c>
      <c r="J397" s="5" t="s">
        <v>1269</v>
      </c>
    </row>
    <row r="398" customFormat="false" ht="15" hidden="false" customHeight="false" outlineLevel="0" collapsed="false">
      <c r="A398" s="3" t="n">
        <v>397</v>
      </c>
      <c r="B398" s="4" t="s">
        <v>10</v>
      </c>
      <c r="C398" s="3" t="s">
        <v>1231</v>
      </c>
      <c r="D398" s="5" t="s">
        <v>1232</v>
      </c>
      <c r="E398" s="5" t="s">
        <v>1270</v>
      </c>
      <c r="F398" s="9" t="s">
        <v>1271</v>
      </c>
      <c r="G398" s="7" t="s">
        <v>15</v>
      </c>
      <c r="H398" s="8" t="s">
        <v>744</v>
      </c>
      <c r="I398" s="3" t="s">
        <v>45</v>
      </c>
      <c r="J398" s="5" t="s">
        <v>1272</v>
      </c>
    </row>
    <row r="399" customFormat="false" ht="15" hidden="false" customHeight="false" outlineLevel="0" collapsed="false">
      <c r="A399" s="3" t="n">
        <v>398</v>
      </c>
      <c r="B399" s="4" t="s">
        <v>10</v>
      </c>
      <c r="C399" s="3" t="s">
        <v>1231</v>
      </c>
      <c r="D399" s="5" t="s">
        <v>1232</v>
      </c>
      <c r="E399" s="5" t="s">
        <v>1270</v>
      </c>
      <c r="F399" s="9" t="s">
        <v>1273</v>
      </c>
      <c r="G399" s="7" t="s">
        <v>15</v>
      </c>
      <c r="H399" s="8" t="s">
        <v>750</v>
      </c>
      <c r="I399" s="3" t="s">
        <v>25</v>
      </c>
      <c r="J399" s="5" t="s">
        <v>1272</v>
      </c>
    </row>
    <row r="400" customFormat="false" ht="15" hidden="false" customHeight="false" outlineLevel="0" collapsed="false">
      <c r="A400" s="3" t="n">
        <v>399</v>
      </c>
      <c r="B400" s="4" t="s">
        <v>10</v>
      </c>
      <c r="C400" s="3" t="s">
        <v>1231</v>
      </c>
      <c r="D400" s="5" t="s">
        <v>1232</v>
      </c>
      <c r="E400" s="5" t="s">
        <v>1270</v>
      </c>
      <c r="F400" s="9" t="s">
        <v>758</v>
      </c>
      <c r="G400" s="7" t="s">
        <v>15</v>
      </c>
      <c r="H400" s="8" t="s">
        <v>1274</v>
      </c>
      <c r="I400" s="3" t="s">
        <v>21</v>
      </c>
      <c r="J400" s="5" t="s">
        <v>1275</v>
      </c>
    </row>
    <row r="401" customFormat="false" ht="15" hidden="false" customHeight="false" outlineLevel="0" collapsed="false">
      <c r="A401" s="3" t="n">
        <v>400</v>
      </c>
      <c r="B401" s="4" t="s">
        <v>10</v>
      </c>
      <c r="C401" s="3" t="s">
        <v>1231</v>
      </c>
      <c r="D401" s="5" t="s">
        <v>1232</v>
      </c>
      <c r="E401" s="5" t="s">
        <v>1270</v>
      </c>
      <c r="F401" s="9" t="s">
        <v>755</v>
      </c>
      <c r="G401" s="7" t="s">
        <v>15</v>
      </c>
      <c r="H401" s="8" t="s">
        <v>1276</v>
      </c>
      <c r="I401" s="3" t="s">
        <v>29</v>
      </c>
      <c r="J401" s="5" t="s">
        <v>1277</v>
      </c>
    </row>
    <row r="402" customFormat="false" ht="15" hidden="false" customHeight="false" outlineLevel="0" collapsed="false">
      <c r="A402" s="3" t="n">
        <v>401</v>
      </c>
      <c r="B402" s="4" t="s">
        <v>10</v>
      </c>
      <c r="C402" s="3" t="s">
        <v>1231</v>
      </c>
      <c r="D402" s="5" t="s">
        <v>1232</v>
      </c>
      <c r="E402" s="5" t="s">
        <v>1270</v>
      </c>
      <c r="F402" s="9" t="s">
        <v>1278</v>
      </c>
      <c r="G402" s="11" t="s">
        <v>111</v>
      </c>
      <c r="H402" s="8" t="s">
        <v>1279</v>
      </c>
      <c r="I402" s="3" t="s">
        <v>53</v>
      </c>
      <c r="J402" s="5" t="s">
        <v>1280</v>
      </c>
    </row>
    <row r="403" customFormat="false" ht="15" hidden="false" customHeight="false" outlineLevel="0" collapsed="false">
      <c r="A403" s="3" t="n">
        <v>402</v>
      </c>
      <c r="B403" s="4" t="s">
        <v>10</v>
      </c>
      <c r="C403" s="3" t="s">
        <v>1231</v>
      </c>
      <c r="D403" s="5" t="s">
        <v>1232</v>
      </c>
      <c r="E403" s="5" t="s">
        <v>1270</v>
      </c>
      <c r="F403" s="9" t="s">
        <v>1281</v>
      </c>
      <c r="G403" s="7" t="s">
        <v>15</v>
      </c>
      <c r="H403" s="8" t="s">
        <v>1282</v>
      </c>
      <c r="I403" s="3" t="s">
        <v>57</v>
      </c>
      <c r="J403" s="10" t="s">
        <v>1283</v>
      </c>
    </row>
    <row r="404" customFormat="false" ht="15" hidden="false" customHeight="false" outlineLevel="0" collapsed="false">
      <c r="A404" s="3" t="n">
        <v>403</v>
      </c>
      <c r="B404" s="4" t="s">
        <v>10</v>
      </c>
      <c r="C404" s="3" t="s">
        <v>1231</v>
      </c>
      <c r="D404" s="5" t="s">
        <v>1232</v>
      </c>
      <c r="E404" s="5" t="s">
        <v>1284</v>
      </c>
      <c r="F404" s="9" t="s">
        <v>1285</v>
      </c>
      <c r="G404" s="7" t="s">
        <v>15</v>
      </c>
      <c r="H404" s="8" t="s">
        <v>1286</v>
      </c>
      <c r="I404" s="3" t="s">
        <v>57</v>
      </c>
      <c r="J404" s="10" t="s">
        <v>476</v>
      </c>
    </row>
    <row r="405" customFormat="false" ht="15" hidden="false" customHeight="false" outlineLevel="0" collapsed="false">
      <c r="A405" s="3" t="n">
        <v>404</v>
      </c>
      <c r="B405" s="4" t="s">
        <v>10</v>
      </c>
      <c r="C405" s="3" t="s">
        <v>1231</v>
      </c>
      <c r="D405" s="5" t="s">
        <v>1232</v>
      </c>
      <c r="E405" s="5" t="s">
        <v>1284</v>
      </c>
      <c r="F405" s="9" t="s">
        <v>1287</v>
      </c>
      <c r="G405" s="7" t="s">
        <v>15</v>
      </c>
      <c r="H405" s="8" t="s">
        <v>1288</v>
      </c>
      <c r="I405" s="3" t="s">
        <v>57</v>
      </c>
      <c r="J405" s="10" t="s">
        <v>1289</v>
      </c>
    </row>
    <row r="406" customFormat="false" ht="15" hidden="false" customHeight="false" outlineLevel="0" collapsed="false">
      <c r="A406" s="3" t="n">
        <v>405</v>
      </c>
      <c r="B406" s="4" t="s">
        <v>10</v>
      </c>
      <c r="C406" s="3" t="s">
        <v>1231</v>
      </c>
      <c r="D406" s="5" t="s">
        <v>1232</v>
      </c>
      <c r="E406" s="5" t="s">
        <v>1284</v>
      </c>
      <c r="F406" s="9" t="s">
        <v>1290</v>
      </c>
      <c r="G406" s="7" t="s">
        <v>15</v>
      </c>
      <c r="H406" s="8" t="s">
        <v>1291</v>
      </c>
      <c r="I406" s="3" t="s">
        <v>57</v>
      </c>
      <c r="J406" s="10" t="s">
        <v>476</v>
      </c>
    </row>
    <row r="407" customFormat="false" ht="15" hidden="false" customHeight="false" outlineLevel="0" collapsed="false">
      <c r="A407" s="3" t="n">
        <v>406</v>
      </c>
      <c r="B407" s="4" t="s">
        <v>10</v>
      </c>
      <c r="C407" s="3" t="s">
        <v>1231</v>
      </c>
      <c r="D407" s="5" t="s">
        <v>1232</v>
      </c>
      <c r="E407" s="5" t="s">
        <v>1284</v>
      </c>
      <c r="F407" s="9" t="s">
        <v>1292</v>
      </c>
      <c r="G407" s="7" t="s">
        <v>15</v>
      </c>
      <c r="H407" s="8" t="s">
        <v>1293</v>
      </c>
      <c r="I407" s="3" t="s">
        <v>33</v>
      </c>
      <c r="J407" s="5" t="s">
        <v>1294</v>
      </c>
    </row>
    <row r="408" customFormat="false" ht="15" hidden="false" customHeight="false" outlineLevel="0" collapsed="false">
      <c r="A408" s="3" t="n">
        <v>407</v>
      </c>
      <c r="B408" s="4" t="s">
        <v>10</v>
      </c>
      <c r="C408" s="3" t="s">
        <v>1231</v>
      </c>
      <c r="D408" s="5" t="s">
        <v>1232</v>
      </c>
      <c r="E408" s="5" t="s">
        <v>1284</v>
      </c>
      <c r="F408" s="9" t="s">
        <v>1295</v>
      </c>
      <c r="G408" s="7" t="s">
        <v>15</v>
      </c>
      <c r="H408" s="8" t="s">
        <v>1296</v>
      </c>
      <c r="I408" s="3" t="s">
        <v>33</v>
      </c>
      <c r="J408" s="5" t="s">
        <v>1297</v>
      </c>
    </row>
    <row r="409" customFormat="false" ht="15" hidden="false" customHeight="false" outlineLevel="0" collapsed="false">
      <c r="A409" s="3" t="n">
        <v>408</v>
      </c>
      <c r="B409" s="4" t="s">
        <v>10</v>
      </c>
      <c r="C409" s="3" t="s">
        <v>1231</v>
      </c>
      <c r="D409" s="5" t="s">
        <v>1232</v>
      </c>
      <c r="E409" s="5" t="s">
        <v>1284</v>
      </c>
      <c r="F409" s="9" t="s">
        <v>1298</v>
      </c>
      <c r="G409" s="7" t="s">
        <v>15</v>
      </c>
      <c r="H409" s="8" t="s">
        <v>1299</v>
      </c>
      <c r="I409" s="3" t="s">
        <v>53</v>
      </c>
      <c r="J409" s="5" t="s">
        <v>1300</v>
      </c>
    </row>
    <row r="410" customFormat="false" ht="15" hidden="false" customHeight="false" outlineLevel="0" collapsed="false">
      <c r="A410" s="3" t="n">
        <v>409</v>
      </c>
      <c r="B410" s="4" t="s">
        <v>10</v>
      </c>
      <c r="C410" s="3" t="s">
        <v>1231</v>
      </c>
      <c r="D410" s="5" t="s">
        <v>1232</v>
      </c>
      <c r="E410" s="5" t="s">
        <v>1301</v>
      </c>
      <c r="F410" s="9" t="s">
        <v>1302</v>
      </c>
      <c r="G410" s="7" t="s">
        <v>15</v>
      </c>
      <c r="H410" s="8" t="s">
        <v>1303</v>
      </c>
      <c r="I410" s="3" t="s">
        <v>125</v>
      </c>
      <c r="J410" s="5" t="s">
        <v>1304</v>
      </c>
    </row>
    <row r="411" customFormat="false" ht="15" hidden="false" customHeight="false" outlineLevel="0" collapsed="false">
      <c r="A411" s="3" t="n">
        <v>410</v>
      </c>
      <c r="B411" s="4" t="s">
        <v>10</v>
      </c>
      <c r="C411" s="3" t="s">
        <v>1231</v>
      </c>
      <c r="D411" s="5" t="s">
        <v>1232</v>
      </c>
      <c r="E411" s="5" t="s">
        <v>1301</v>
      </c>
      <c r="F411" s="9" t="s">
        <v>1305</v>
      </c>
      <c r="G411" s="11" t="s">
        <v>111</v>
      </c>
      <c r="H411" s="8" t="s">
        <v>1306</v>
      </c>
      <c r="I411" s="3" t="s">
        <v>460</v>
      </c>
      <c r="J411" s="5" t="s">
        <v>1307</v>
      </c>
    </row>
    <row r="412" customFormat="false" ht="15" hidden="false" customHeight="false" outlineLevel="0" collapsed="false">
      <c r="A412" s="3" t="n">
        <v>411</v>
      </c>
      <c r="B412" s="4" t="s">
        <v>10</v>
      </c>
      <c r="C412" s="3" t="s">
        <v>1231</v>
      </c>
      <c r="D412" s="5" t="s">
        <v>1232</v>
      </c>
      <c r="E412" s="5" t="s">
        <v>1301</v>
      </c>
      <c r="F412" s="9" t="s">
        <v>1308</v>
      </c>
      <c r="G412" s="11" t="s">
        <v>111</v>
      </c>
      <c r="H412" s="8" t="s">
        <v>1309</v>
      </c>
      <c r="I412" s="3" t="s">
        <v>331</v>
      </c>
      <c r="J412" s="5" t="s">
        <v>1310</v>
      </c>
    </row>
    <row r="413" customFormat="false" ht="15" hidden="false" customHeight="false" outlineLevel="0" collapsed="false">
      <c r="A413" s="3" t="n">
        <v>412</v>
      </c>
      <c r="B413" s="4" t="s">
        <v>10</v>
      </c>
      <c r="C413" s="3" t="s">
        <v>1231</v>
      </c>
      <c r="D413" s="5" t="s">
        <v>1232</v>
      </c>
      <c r="E413" s="5" t="s">
        <v>1301</v>
      </c>
      <c r="F413" s="9" t="s">
        <v>1311</v>
      </c>
      <c r="G413" s="11" t="s">
        <v>111</v>
      </c>
      <c r="H413" s="8" t="s">
        <v>1312</v>
      </c>
      <c r="I413" s="3" t="s">
        <v>53</v>
      </c>
      <c r="J413" s="5" t="s">
        <v>1313</v>
      </c>
    </row>
    <row r="414" customFormat="false" ht="15" hidden="false" customHeight="false" outlineLevel="0" collapsed="false">
      <c r="A414" s="3" t="n">
        <v>413</v>
      </c>
      <c r="B414" s="4" t="s">
        <v>10</v>
      </c>
      <c r="C414" s="3" t="s">
        <v>1231</v>
      </c>
      <c r="D414" s="5" t="s">
        <v>1232</v>
      </c>
      <c r="E414" s="5" t="s">
        <v>1301</v>
      </c>
      <c r="F414" s="9" t="s">
        <v>1314</v>
      </c>
      <c r="G414" s="7" t="s">
        <v>15</v>
      </c>
      <c r="H414" s="8" t="s">
        <v>1315</v>
      </c>
      <c r="I414" s="3" t="s">
        <v>53</v>
      </c>
      <c r="J414" s="5" t="s">
        <v>1316</v>
      </c>
    </row>
    <row r="415" customFormat="false" ht="15" hidden="false" customHeight="false" outlineLevel="0" collapsed="false">
      <c r="A415" s="3" t="n">
        <v>414</v>
      </c>
      <c r="B415" s="4" t="s">
        <v>10</v>
      </c>
      <c r="C415" s="3" t="s">
        <v>1231</v>
      </c>
      <c r="D415" s="5" t="s">
        <v>1232</v>
      </c>
      <c r="E415" s="5" t="s">
        <v>1301</v>
      </c>
      <c r="F415" s="9" t="s">
        <v>1317</v>
      </c>
      <c r="G415" s="7" t="s">
        <v>15</v>
      </c>
      <c r="H415" s="8" t="s">
        <v>1318</v>
      </c>
      <c r="I415" s="3" t="s">
        <v>25</v>
      </c>
      <c r="J415" s="10" t="s">
        <v>1319</v>
      </c>
    </row>
    <row r="416" customFormat="false" ht="15" hidden="false" customHeight="false" outlineLevel="0" collapsed="false">
      <c r="A416" s="3" t="n">
        <v>415</v>
      </c>
      <c r="B416" s="4" t="s">
        <v>10</v>
      </c>
      <c r="C416" s="3" t="s">
        <v>1231</v>
      </c>
      <c r="D416" s="5" t="s">
        <v>1232</v>
      </c>
      <c r="E416" s="5" t="s">
        <v>1320</v>
      </c>
      <c r="F416" s="9" t="s">
        <v>1321</v>
      </c>
      <c r="G416" s="11" t="s">
        <v>111</v>
      </c>
      <c r="H416" s="8" t="s">
        <v>1322</v>
      </c>
      <c r="I416" s="3" t="s">
        <v>331</v>
      </c>
      <c r="J416" s="5" t="s">
        <v>1323</v>
      </c>
    </row>
    <row r="417" customFormat="false" ht="15" hidden="false" customHeight="false" outlineLevel="0" collapsed="false">
      <c r="A417" s="3" t="n">
        <v>416</v>
      </c>
      <c r="B417" s="4" t="s">
        <v>10</v>
      </c>
      <c r="C417" s="3" t="s">
        <v>1231</v>
      </c>
      <c r="D417" s="5" t="s">
        <v>1232</v>
      </c>
      <c r="E417" s="5" t="s">
        <v>1320</v>
      </c>
      <c r="F417" s="9" t="s">
        <v>1324</v>
      </c>
      <c r="G417" s="11" t="s">
        <v>111</v>
      </c>
      <c r="H417" s="8" t="s">
        <v>1325</v>
      </c>
      <c r="I417" s="3" t="s">
        <v>331</v>
      </c>
      <c r="J417" s="5" t="s">
        <v>1326</v>
      </c>
    </row>
    <row r="418" customFormat="false" ht="15" hidden="false" customHeight="false" outlineLevel="0" collapsed="false">
      <c r="A418" s="3" t="n">
        <v>417</v>
      </c>
      <c r="B418" s="4" t="s">
        <v>10</v>
      </c>
      <c r="C418" s="3" t="s">
        <v>1231</v>
      </c>
      <c r="D418" s="5" t="s">
        <v>1232</v>
      </c>
      <c r="E418" s="5" t="s">
        <v>1320</v>
      </c>
      <c r="F418" s="9" t="s">
        <v>1327</v>
      </c>
      <c r="G418" s="11" t="s">
        <v>111</v>
      </c>
      <c r="H418" s="8" t="s">
        <v>1328</v>
      </c>
      <c r="I418" s="3" t="s">
        <v>331</v>
      </c>
      <c r="J418" s="5" t="s">
        <v>1329</v>
      </c>
    </row>
    <row r="419" customFormat="false" ht="15" hidden="false" customHeight="false" outlineLevel="0" collapsed="false">
      <c r="A419" s="3" t="n">
        <v>418</v>
      </c>
      <c r="B419" s="4" t="s">
        <v>10</v>
      </c>
      <c r="C419" s="3" t="s">
        <v>1231</v>
      </c>
      <c r="D419" s="5" t="s">
        <v>1232</v>
      </c>
      <c r="E419" s="5" t="s">
        <v>1320</v>
      </c>
      <c r="F419" s="9" t="s">
        <v>1330</v>
      </c>
      <c r="G419" s="11" t="s">
        <v>111</v>
      </c>
      <c r="H419" s="8" t="s">
        <v>1331</v>
      </c>
      <c r="I419" s="3" t="s">
        <v>331</v>
      </c>
      <c r="J419" s="5" t="s">
        <v>1332</v>
      </c>
    </row>
    <row r="420" customFormat="false" ht="15" hidden="false" customHeight="false" outlineLevel="0" collapsed="false">
      <c r="A420" s="3" t="n">
        <v>419</v>
      </c>
      <c r="B420" s="4" t="s">
        <v>10</v>
      </c>
      <c r="C420" s="3" t="s">
        <v>1231</v>
      </c>
      <c r="D420" s="5" t="s">
        <v>1232</v>
      </c>
      <c r="E420" s="5" t="s">
        <v>1320</v>
      </c>
      <c r="F420" s="9" t="s">
        <v>1333</v>
      </c>
      <c r="G420" s="11" t="s">
        <v>111</v>
      </c>
      <c r="H420" s="8" t="s">
        <v>1334</v>
      </c>
      <c r="I420" s="3" t="s">
        <v>331</v>
      </c>
      <c r="J420" s="5" t="s">
        <v>1335</v>
      </c>
    </row>
    <row r="421" customFormat="false" ht="15" hidden="false" customHeight="false" outlineLevel="0" collapsed="false">
      <c r="A421" s="3" t="n">
        <v>420</v>
      </c>
      <c r="B421" s="4" t="s">
        <v>10</v>
      </c>
      <c r="C421" s="3" t="s">
        <v>1231</v>
      </c>
      <c r="D421" s="5" t="s">
        <v>1232</v>
      </c>
      <c r="E421" s="5" t="s">
        <v>1320</v>
      </c>
      <c r="F421" s="9" t="s">
        <v>1336</v>
      </c>
      <c r="G421" s="7" t="s">
        <v>15</v>
      </c>
      <c r="H421" s="8" t="s">
        <v>1337</v>
      </c>
      <c r="I421" s="3" t="s">
        <v>53</v>
      </c>
      <c r="J421" s="5" t="s">
        <v>1338</v>
      </c>
    </row>
    <row r="422" customFormat="false" ht="15" hidden="false" customHeight="false" outlineLevel="0" collapsed="false">
      <c r="A422" s="3" t="n">
        <v>421</v>
      </c>
      <c r="B422" s="4" t="s">
        <v>10</v>
      </c>
      <c r="C422" s="3" t="s">
        <v>1231</v>
      </c>
      <c r="D422" s="5" t="s">
        <v>1232</v>
      </c>
      <c r="E422" s="5" t="s">
        <v>1339</v>
      </c>
      <c r="F422" s="9" t="s">
        <v>1340</v>
      </c>
      <c r="G422" s="7" t="s">
        <v>15</v>
      </c>
      <c r="H422" s="8" t="s">
        <v>1341</v>
      </c>
      <c r="I422" s="3" t="s">
        <v>29</v>
      </c>
      <c r="J422" s="10" t="s">
        <v>1342</v>
      </c>
    </row>
    <row r="423" customFormat="false" ht="15" hidden="false" customHeight="false" outlineLevel="0" collapsed="false">
      <c r="A423" s="3" t="n">
        <v>422</v>
      </c>
      <c r="B423" s="4" t="s">
        <v>10</v>
      </c>
      <c r="C423" s="3" t="s">
        <v>1231</v>
      </c>
      <c r="D423" s="5" t="s">
        <v>1232</v>
      </c>
      <c r="E423" s="5" t="s">
        <v>1339</v>
      </c>
      <c r="F423" s="9" t="s">
        <v>1343</v>
      </c>
      <c r="G423" s="7" t="s">
        <v>15</v>
      </c>
      <c r="H423" s="8" t="s">
        <v>1344</v>
      </c>
      <c r="I423" s="3" t="s">
        <v>460</v>
      </c>
      <c r="J423" s="5" t="s">
        <v>1345</v>
      </c>
    </row>
    <row r="424" customFormat="false" ht="15" hidden="false" customHeight="false" outlineLevel="0" collapsed="false">
      <c r="A424" s="3" t="n">
        <v>423</v>
      </c>
      <c r="B424" s="4" t="s">
        <v>10</v>
      </c>
      <c r="C424" s="3" t="s">
        <v>1231</v>
      </c>
      <c r="D424" s="5" t="s">
        <v>1232</v>
      </c>
      <c r="E424" s="5" t="s">
        <v>1339</v>
      </c>
      <c r="F424" s="9" t="s">
        <v>1346</v>
      </c>
      <c r="G424" s="11" t="s">
        <v>111</v>
      </c>
      <c r="H424" s="8" t="s">
        <v>1347</v>
      </c>
      <c r="I424" s="3" t="s">
        <v>460</v>
      </c>
      <c r="J424" s="5" t="s">
        <v>1348</v>
      </c>
    </row>
    <row r="425" customFormat="false" ht="15" hidden="false" customHeight="false" outlineLevel="0" collapsed="false">
      <c r="A425" s="3" t="n">
        <v>424</v>
      </c>
      <c r="B425" s="4" t="s">
        <v>10</v>
      </c>
      <c r="C425" s="3" t="s">
        <v>1231</v>
      </c>
      <c r="D425" s="5" t="s">
        <v>1232</v>
      </c>
      <c r="E425" s="5" t="s">
        <v>1339</v>
      </c>
      <c r="F425" s="9" t="s">
        <v>1349</v>
      </c>
      <c r="G425" s="11" t="s">
        <v>111</v>
      </c>
      <c r="H425" s="8" t="s">
        <v>1350</v>
      </c>
      <c r="I425" s="3" t="s">
        <v>331</v>
      </c>
      <c r="J425" s="5" t="s">
        <v>1351</v>
      </c>
    </row>
    <row r="426" customFormat="false" ht="15" hidden="false" customHeight="false" outlineLevel="0" collapsed="false">
      <c r="A426" s="3" t="n">
        <v>425</v>
      </c>
      <c r="B426" s="4" t="s">
        <v>10</v>
      </c>
      <c r="C426" s="3" t="s">
        <v>1231</v>
      </c>
      <c r="D426" s="5" t="s">
        <v>1232</v>
      </c>
      <c r="E426" s="5" t="s">
        <v>1339</v>
      </c>
      <c r="F426" s="9" t="s">
        <v>1352</v>
      </c>
      <c r="G426" s="11" t="s">
        <v>111</v>
      </c>
      <c r="H426" s="8" t="s">
        <v>1353</v>
      </c>
      <c r="I426" s="3" t="s">
        <v>331</v>
      </c>
      <c r="J426" s="5" t="s">
        <v>1354</v>
      </c>
    </row>
    <row r="427" customFormat="false" ht="15" hidden="false" customHeight="false" outlineLevel="0" collapsed="false">
      <c r="A427" s="3" t="n">
        <v>426</v>
      </c>
      <c r="B427" s="4" t="s">
        <v>10</v>
      </c>
      <c r="C427" s="3" t="s">
        <v>1231</v>
      </c>
      <c r="D427" s="5" t="s">
        <v>1232</v>
      </c>
      <c r="E427" s="5" t="s">
        <v>1339</v>
      </c>
      <c r="F427" s="9" t="s">
        <v>465</v>
      </c>
      <c r="G427" s="7" t="s">
        <v>15</v>
      </c>
      <c r="H427" s="8" t="s">
        <v>1355</v>
      </c>
      <c r="I427" s="3" t="s">
        <v>29</v>
      </c>
      <c r="J427" s="5" t="s">
        <v>1356</v>
      </c>
    </row>
    <row r="428" customFormat="false" ht="15" hidden="false" customHeight="false" outlineLevel="0" collapsed="false">
      <c r="A428" s="3" t="n">
        <v>427</v>
      </c>
      <c r="B428" s="4" t="s">
        <v>10</v>
      </c>
      <c r="C428" s="3" t="s">
        <v>1231</v>
      </c>
      <c r="D428" s="5" t="s">
        <v>1232</v>
      </c>
      <c r="E428" s="5" t="s">
        <v>1357</v>
      </c>
      <c r="F428" s="9" t="s">
        <v>1358</v>
      </c>
      <c r="G428" s="11" t="s">
        <v>111</v>
      </c>
      <c r="H428" s="8" t="s">
        <v>1359</v>
      </c>
      <c r="I428" s="3" t="s">
        <v>460</v>
      </c>
      <c r="J428" s="5" t="s">
        <v>1360</v>
      </c>
    </row>
    <row r="429" customFormat="false" ht="15" hidden="false" customHeight="false" outlineLevel="0" collapsed="false">
      <c r="A429" s="3" t="n">
        <v>428</v>
      </c>
      <c r="B429" s="4" t="s">
        <v>10</v>
      </c>
      <c r="C429" s="3" t="s">
        <v>1231</v>
      </c>
      <c r="D429" s="5" t="s">
        <v>1232</v>
      </c>
      <c r="E429" s="5" t="s">
        <v>1357</v>
      </c>
      <c r="F429" s="9" t="s">
        <v>1361</v>
      </c>
      <c r="G429" s="11" t="s">
        <v>111</v>
      </c>
      <c r="H429" s="8" t="s">
        <v>1362</v>
      </c>
      <c r="I429" s="3" t="s">
        <v>460</v>
      </c>
      <c r="J429" s="5" t="s">
        <v>1363</v>
      </c>
    </row>
    <row r="430" customFormat="false" ht="15" hidden="false" customHeight="false" outlineLevel="0" collapsed="false">
      <c r="A430" s="3" t="n">
        <v>429</v>
      </c>
      <c r="B430" s="4" t="s">
        <v>10</v>
      </c>
      <c r="C430" s="3" t="s">
        <v>1231</v>
      </c>
      <c r="D430" s="5" t="s">
        <v>1232</v>
      </c>
      <c r="E430" s="5" t="s">
        <v>1357</v>
      </c>
      <c r="F430" s="9" t="s">
        <v>1364</v>
      </c>
      <c r="G430" s="11" t="s">
        <v>111</v>
      </c>
      <c r="H430" s="8" t="s">
        <v>1365</v>
      </c>
      <c r="I430" s="3" t="s">
        <v>1014</v>
      </c>
      <c r="J430" s="5" t="s">
        <v>1366</v>
      </c>
    </row>
    <row r="431" customFormat="false" ht="15" hidden="false" customHeight="false" outlineLevel="0" collapsed="false">
      <c r="A431" s="3" t="n">
        <v>430</v>
      </c>
      <c r="B431" s="4" t="s">
        <v>10</v>
      </c>
      <c r="C431" s="3" t="s">
        <v>1231</v>
      </c>
      <c r="D431" s="5" t="s">
        <v>1232</v>
      </c>
      <c r="E431" s="5" t="s">
        <v>1357</v>
      </c>
      <c r="F431" s="9" t="s">
        <v>1367</v>
      </c>
      <c r="G431" s="11" t="s">
        <v>111</v>
      </c>
      <c r="H431" s="8" t="s">
        <v>1368</v>
      </c>
      <c r="I431" s="3" t="s">
        <v>331</v>
      </c>
      <c r="J431" s="5" t="s">
        <v>1369</v>
      </c>
    </row>
    <row r="432" customFormat="false" ht="15" hidden="false" customHeight="false" outlineLevel="0" collapsed="false">
      <c r="A432" s="3" t="n">
        <v>431</v>
      </c>
      <c r="B432" s="4" t="s">
        <v>10</v>
      </c>
      <c r="C432" s="3" t="s">
        <v>1231</v>
      </c>
      <c r="D432" s="5" t="s">
        <v>1232</v>
      </c>
      <c r="E432" s="5" t="s">
        <v>1357</v>
      </c>
      <c r="F432" s="9" t="s">
        <v>1370</v>
      </c>
      <c r="G432" s="7" t="s">
        <v>15</v>
      </c>
      <c r="H432" s="8" t="s">
        <v>1371</v>
      </c>
      <c r="I432" s="3" t="s">
        <v>25</v>
      </c>
      <c r="J432" s="10" t="s">
        <v>1372</v>
      </c>
    </row>
    <row r="433" customFormat="false" ht="15" hidden="false" customHeight="false" outlineLevel="0" collapsed="false">
      <c r="A433" s="3" t="n">
        <v>432</v>
      </c>
      <c r="B433" s="4" t="s">
        <v>10</v>
      </c>
      <c r="C433" s="3" t="s">
        <v>1231</v>
      </c>
      <c r="D433" s="5" t="s">
        <v>1232</v>
      </c>
      <c r="E433" s="5" t="s">
        <v>1357</v>
      </c>
      <c r="F433" s="9" t="s">
        <v>1373</v>
      </c>
      <c r="G433" s="7" t="s">
        <v>15</v>
      </c>
      <c r="H433" s="8" t="s">
        <v>1374</v>
      </c>
      <c r="I433" s="3" t="s">
        <v>460</v>
      </c>
      <c r="J433" s="5" t="s">
        <v>1375</v>
      </c>
    </row>
    <row r="434" customFormat="false" ht="15" hidden="false" customHeight="false" outlineLevel="0" collapsed="false">
      <c r="A434" s="3" t="n">
        <v>433</v>
      </c>
      <c r="B434" s="17" t="s">
        <v>1376</v>
      </c>
      <c r="C434" s="3" t="s">
        <v>1377</v>
      </c>
      <c r="D434" s="5" t="s">
        <v>1378</v>
      </c>
      <c r="E434" s="5" t="s">
        <v>1379</v>
      </c>
      <c r="F434" s="9" t="s">
        <v>1380</v>
      </c>
      <c r="G434" s="16" t="s">
        <v>303</v>
      </c>
      <c r="H434" s="13" t="s">
        <v>1381</v>
      </c>
      <c r="I434" s="3" t="s">
        <v>538</v>
      </c>
      <c r="J434" s="5" t="s">
        <v>1382</v>
      </c>
    </row>
    <row r="435" customFormat="false" ht="15" hidden="false" customHeight="false" outlineLevel="0" collapsed="false">
      <c r="A435" s="3" t="n">
        <v>434</v>
      </c>
      <c r="B435" s="17" t="s">
        <v>1376</v>
      </c>
      <c r="C435" s="3" t="s">
        <v>1377</v>
      </c>
      <c r="D435" s="5" t="s">
        <v>1378</v>
      </c>
      <c r="E435" s="5" t="s">
        <v>1379</v>
      </c>
      <c r="F435" s="9" t="s">
        <v>1383</v>
      </c>
      <c r="G435" s="16" t="s">
        <v>303</v>
      </c>
      <c r="H435" s="13" t="s">
        <v>1384</v>
      </c>
      <c r="I435" s="3" t="s">
        <v>538</v>
      </c>
      <c r="J435" s="5" t="s">
        <v>1385</v>
      </c>
    </row>
    <row r="436" customFormat="false" ht="15" hidden="false" customHeight="false" outlineLevel="0" collapsed="false">
      <c r="A436" s="3" t="n">
        <v>435</v>
      </c>
      <c r="B436" s="17" t="s">
        <v>1376</v>
      </c>
      <c r="C436" s="3" t="s">
        <v>1377</v>
      </c>
      <c r="D436" s="5" t="s">
        <v>1378</v>
      </c>
      <c r="E436" s="5" t="s">
        <v>1379</v>
      </c>
      <c r="F436" s="9" t="s">
        <v>1386</v>
      </c>
      <c r="G436" s="16" t="s">
        <v>303</v>
      </c>
      <c r="H436" s="13" t="s">
        <v>1387</v>
      </c>
      <c r="I436" s="3" t="s">
        <v>538</v>
      </c>
      <c r="J436" s="5" t="s">
        <v>1388</v>
      </c>
    </row>
    <row r="437" customFormat="false" ht="15" hidden="false" customHeight="false" outlineLevel="0" collapsed="false">
      <c r="A437" s="3" t="n">
        <v>436</v>
      </c>
      <c r="B437" s="17" t="s">
        <v>1376</v>
      </c>
      <c r="C437" s="3" t="s">
        <v>1377</v>
      </c>
      <c r="D437" s="5" t="s">
        <v>1378</v>
      </c>
      <c r="E437" s="5" t="s">
        <v>1379</v>
      </c>
      <c r="F437" s="9" t="s">
        <v>1389</v>
      </c>
      <c r="G437" s="16" t="s">
        <v>303</v>
      </c>
      <c r="H437" s="13" t="s">
        <v>1390</v>
      </c>
      <c r="I437" s="3" t="s">
        <v>538</v>
      </c>
      <c r="J437" s="5" t="s">
        <v>1391</v>
      </c>
    </row>
    <row r="438" customFormat="false" ht="15" hidden="false" customHeight="false" outlineLevel="0" collapsed="false">
      <c r="A438" s="3" t="n">
        <v>437</v>
      </c>
      <c r="B438" s="17" t="s">
        <v>1376</v>
      </c>
      <c r="C438" s="3" t="s">
        <v>1377</v>
      </c>
      <c r="D438" s="5" t="s">
        <v>1378</v>
      </c>
      <c r="E438" s="5" t="s">
        <v>1379</v>
      </c>
      <c r="F438" s="9" t="s">
        <v>1392</v>
      </c>
      <c r="G438" s="16" t="s">
        <v>303</v>
      </c>
      <c r="H438" s="13" t="s">
        <v>1393</v>
      </c>
      <c r="I438" s="3" t="s">
        <v>538</v>
      </c>
      <c r="J438" s="5" t="s">
        <v>1394</v>
      </c>
    </row>
    <row r="439" customFormat="false" ht="15" hidden="false" customHeight="false" outlineLevel="0" collapsed="false">
      <c r="A439" s="3" t="n">
        <v>438</v>
      </c>
      <c r="B439" s="17" t="s">
        <v>1376</v>
      </c>
      <c r="C439" s="3" t="s">
        <v>1377</v>
      </c>
      <c r="D439" s="5" t="s">
        <v>1378</v>
      </c>
      <c r="E439" s="5" t="s">
        <v>1379</v>
      </c>
      <c r="F439" s="9" t="s">
        <v>1395</v>
      </c>
      <c r="G439" s="16" t="s">
        <v>303</v>
      </c>
      <c r="H439" s="13" t="s">
        <v>1396</v>
      </c>
      <c r="I439" s="3" t="s">
        <v>538</v>
      </c>
      <c r="J439" s="5" t="s">
        <v>1397</v>
      </c>
    </row>
    <row r="440" customFormat="false" ht="15" hidden="false" customHeight="false" outlineLevel="0" collapsed="false">
      <c r="A440" s="3" t="n">
        <v>439</v>
      </c>
      <c r="B440" s="17" t="s">
        <v>1376</v>
      </c>
      <c r="C440" s="3" t="s">
        <v>1377</v>
      </c>
      <c r="D440" s="5" t="s">
        <v>1378</v>
      </c>
      <c r="E440" s="5" t="s">
        <v>1398</v>
      </c>
      <c r="F440" s="9" t="s">
        <v>1399</v>
      </c>
      <c r="G440" s="16" t="s">
        <v>303</v>
      </c>
      <c r="H440" s="13" t="s">
        <v>1400</v>
      </c>
      <c r="I440" s="3" t="s">
        <v>538</v>
      </c>
      <c r="J440" s="5" t="s">
        <v>1401</v>
      </c>
    </row>
    <row r="441" customFormat="false" ht="15" hidden="false" customHeight="false" outlineLevel="0" collapsed="false">
      <c r="A441" s="3" t="n">
        <v>440</v>
      </c>
      <c r="B441" s="17" t="s">
        <v>1376</v>
      </c>
      <c r="C441" s="3" t="s">
        <v>1377</v>
      </c>
      <c r="D441" s="5" t="s">
        <v>1378</v>
      </c>
      <c r="E441" s="5" t="s">
        <v>1398</v>
      </c>
      <c r="F441" s="9" t="s">
        <v>1402</v>
      </c>
      <c r="G441" s="12" t="s">
        <v>168</v>
      </c>
      <c r="H441" s="13" t="s">
        <v>169</v>
      </c>
      <c r="I441" s="3" t="s">
        <v>169</v>
      </c>
      <c r="J441" s="5" t="s">
        <v>1403</v>
      </c>
    </row>
    <row r="442" customFormat="false" ht="15" hidden="false" customHeight="false" outlineLevel="0" collapsed="false">
      <c r="A442" s="3" t="n">
        <v>441</v>
      </c>
      <c r="B442" s="17" t="s">
        <v>1376</v>
      </c>
      <c r="C442" s="3" t="s">
        <v>1377</v>
      </c>
      <c r="D442" s="5" t="s">
        <v>1378</v>
      </c>
      <c r="E442" s="5" t="s">
        <v>1398</v>
      </c>
      <c r="F442" s="9" t="s">
        <v>1404</v>
      </c>
      <c r="G442" s="12" t="s">
        <v>168</v>
      </c>
      <c r="H442" s="13" t="s">
        <v>169</v>
      </c>
      <c r="I442" s="3" t="s">
        <v>169</v>
      </c>
      <c r="J442" s="5" t="s">
        <v>1405</v>
      </c>
    </row>
    <row r="443" customFormat="false" ht="15" hidden="false" customHeight="false" outlineLevel="0" collapsed="false">
      <c r="A443" s="3" t="n">
        <v>442</v>
      </c>
      <c r="B443" s="17" t="s">
        <v>1376</v>
      </c>
      <c r="C443" s="3" t="s">
        <v>1377</v>
      </c>
      <c r="D443" s="5" t="s">
        <v>1378</v>
      </c>
      <c r="E443" s="5" t="s">
        <v>1398</v>
      </c>
      <c r="F443" s="9" t="s">
        <v>1406</v>
      </c>
      <c r="G443" s="11" t="s">
        <v>111</v>
      </c>
      <c r="H443" s="8" t="s">
        <v>1407</v>
      </c>
      <c r="I443" s="3" t="s">
        <v>331</v>
      </c>
      <c r="J443" s="5" t="s">
        <v>1408</v>
      </c>
    </row>
    <row r="444" customFormat="false" ht="15" hidden="false" customHeight="false" outlineLevel="0" collapsed="false">
      <c r="A444" s="3" t="n">
        <v>443</v>
      </c>
      <c r="B444" s="17" t="s">
        <v>1376</v>
      </c>
      <c r="C444" s="3" t="s">
        <v>1377</v>
      </c>
      <c r="D444" s="5" t="s">
        <v>1378</v>
      </c>
      <c r="E444" s="5" t="s">
        <v>1398</v>
      </c>
      <c r="F444" s="9" t="s">
        <v>1409</v>
      </c>
      <c r="G444" s="11" t="s">
        <v>111</v>
      </c>
      <c r="H444" s="8" t="s">
        <v>1410</v>
      </c>
      <c r="I444" s="3" t="s">
        <v>57</v>
      </c>
      <c r="J444" s="5" t="s">
        <v>1411</v>
      </c>
    </row>
    <row r="445" customFormat="false" ht="15" hidden="false" customHeight="false" outlineLevel="0" collapsed="false">
      <c r="A445" s="3" t="n">
        <v>444</v>
      </c>
      <c r="B445" s="17" t="s">
        <v>1376</v>
      </c>
      <c r="C445" s="3" t="s">
        <v>1377</v>
      </c>
      <c r="D445" s="5" t="s">
        <v>1378</v>
      </c>
      <c r="E445" s="5" t="s">
        <v>1398</v>
      </c>
      <c r="F445" s="9" t="s">
        <v>1412</v>
      </c>
      <c r="G445" s="12" t="s">
        <v>168</v>
      </c>
      <c r="H445" s="13" t="s">
        <v>169</v>
      </c>
      <c r="I445" s="3" t="s">
        <v>169</v>
      </c>
      <c r="J445" s="5" t="s">
        <v>1413</v>
      </c>
    </row>
    <row r="446" customFormat="false" ht="15" hidden="false" customHeight="false" outlineLevel="0" collapsed="false">
      <c r="A446" s="3" t="n">
        <v>445</v>
      </c>
      <c r="B446" s="17" t="s">
        <v>1376</v>
      </c>
      <c r="C446" s="3" t="s">
        <v>1377</v>
      </c>
      <c r="D446" s="5" t="s">
        <v>1378</v>
      </c>
      <c r="E446" s="5" t="s">
        <v>1414</v>
      </c>
      <c r="F446" s="9" t="s">
        <v>1415</v>
      </c>
      <c r="G446" s="16" t="s">
        <v>303</v>
      </c>
      <c r="H446" s="13" t="s">
        <v>1416</v>
      </c>
      <c r="I446" s="3" t="s">
        <v>538</v>
      </c>
      <c r="J446" s="5" t="s">
        <v>1417</v>
      </c>
    </row>
    <row r="447" customFormat="false" ht="15" hidden="false" customHeight="false" outlineLevel="0" collapsed="false">
      <c r="A447" s="3" t="n">
        <v>446</v>
      </c>
      <c r="B447" s="17" t="s">
        <v>1376</v>
      </c>
      <c r="C447" s="3" t="s">
        <v>1377</v>
      </c>
      <c r="D447" s="5" t="s">
        <v>1378</v>
      </c>
      <c r="E447" s="5" t="s">
        <v>1414</v>
      </c>
      <c r="F447" s="9" t="s">
        <v>1418</v>
      </c>
      <c r="G447" s="12" t="s">
        <v>168</v>
      </c>
      <c r="H447" s="13" t="s">
        <v>169</v>
      </c>
      <c r="I447" s="3" t="s">
        <v>169</v>
      </c>
      <c r="J447" s="5" t="s">
        <v>1419</v>
      </c>
    </row>
    <row r="448" customFormat="false" ht="15" hidden="false" customHeight="false" outlineLevel="0" collapsed="false">
      <c r="A448" s="3" t="n">
        <v>447</v>
      </c>
      <c r="B448" s="17" t="s">
        <v>1376</v>
      </c>
      <c r="C448" s="3" t="s">
        <v>1377</v>
      </c>
      <c r="D448" s="5" t="s">
        <v>1378</v>
      </c>
      <c r="E448" s="5" t="s">
        <v>1414</v>
      </c>
      <c r="F448" s="9" t="s">
        <v>1420</v>
      </c>
      <c r="G448" s="16" t="s">
        <v>303</v>
      </c>
      <c r="H448" s="13" t="s">
        <v>1421</v>
      </c>
      <c r="I448" s="3" t="s">
        <v>538</v>
      </c>
      <c r="J448" s="5" t="s">
        <v>1422</v>
      </c>
    </row>
    <row r="449" customFormat="false" ht="15" hidden="false" customHeight="false" outlineLevel="0" collapsed="false">
      <c r="A449" s="3" t="n">
        <v>448</v>
      </c>
      <c r="B449" s="17" t="s">
        <v>1376</v>
      </c>
      <c r="C449" s="3" t="s">
        <v>1377</v>
      </c>
      <c r="D449" s="5" t="s">
        <v>1378</v>
      </c>
      <c r="E449" s="5" t="s">
        <v>1414</v>
      </c>
      <c r="F449" s="9" t="s">
        <v>1423</v>
      </c>
      <c r="G449" s="12" t="s">
        <v>168</v>
      </c>
      <c r="H449" s="13" t="s">
        <v>169</v>
      </c>
      <c r="I449" s="3" t="s">
        <v>169</v>
      </c>
      <c r="J449" s="5" t="s">
        <v>1424</v>
      </c>
    </row>
    <row r="450" customFormat="false" ht="15" hidden="false" customHeight="false" outlineLevel="0" collapsed="false">
      <c r="A450" s="3" t="n">
        <v>449</v>
      </c>
      <c r="B450" s="17" t="s">
        <v>1376</v>
      </c>
      <c r="C450" s="3" t="s">
        <v>1377</v>
      </c>
      <c r="D450" s="5" t="s">
        <v>1378</v>
      </c>
      <c r="E450" s="5" t="s">
        <v>1414</v>
      </c>
      <c r="F450" s="9" t="s">
        <v>1425</v>
      </c>
      <c r="G450" s="7" t="s">
        <v>15</v>
      </c>
      <c r="H450" s="8" t="s">
        <v>1426</v>
      </c>
      <c r="I450" s="3" t="s">
        <v>80</v>
      </c>
      <c r="J450" s="5" t="s">
        <v>1427</v>
      </c>
    </row>
    <row r="451" customFormat="false" ht="15" hidden="false" customHeight="false" outlineLevel="0" collapsed="false">
      <c r="A451" s="3" t="n">
        <v>450</v>
      </c>
      <c r="B451" s="17" t="s">
        <v>1376</v>
      </c>
      <c r="C451" s="3" t="s">
        <v>1377</v>
      </c>
      <c r="D451" s="5" t="s">
        <v>1378</v>
      </c>
      <c r="E451" s="5" t="s">
        <v>1414</v>
      </c>
      <c r="F451" s="9" t="s">
        <v>1428</v>
      </c>
      <c r="G451" s="11" t="s">
        <v>111</v>
      </c>
      <c r="H451" s="8" t="s">
        <v>1429</v>
      </c>
      <c r="I451" s="3" t="s">
        <v>80</v>
      </c>
      <c r="J451" s="5" t="s">
        <v>1430</v>
      </c>
    </row>
    <row r="452" customFormat="false" ht="15" hidden="false" customHeight="false" outlineLevel="0" collapsed="false">
      <c r="A452" s="3" t="n">
        <v>451</v>
      </c>
      <c r="B452" s="17" t="s">
        <v>1376</v>
      </c>
      <c r="C452" s="3" t="s">
        <v>1377</v>
      </c>
      <c r="D452" s="5" t="s">
        <v>1378</v>
      </c>
      <c r="E452" s="5" t="s">
        <v>1431</v>
      </c>
      <c r="F452" s="9" t="s">
        <v>1432</v>
      </c>
      <c r="G452" s="11" t="s">
        <v>111</v>
      </c>
      <c r="H452" s="8" t="s">
        <v>1433</v>
      </c>
      <c r="I452" s="3" t="s">
        <v>538</v>
      </c>
      <c r="J452" s="5" t="s">
        <v>1434</v>
      </c>
    </row>
    <row r="453" customFormat="false" ht="15" hidden="false" customHeight="false" outlineLevel="0" collapsed="false">
      <c r="A453" s="3" t="n">
        <v>452</v>
      </c>
      <c r="B453" s="17" t="s">
        <v>1376</v>
      </c>
      <c r="C453" s="3" t="s">
        <v>1377</v>
      </c>
      <c r="D453" s="5" t="s">
        <v>1378</v>
      </c>
      <c r="E453" s="5" t="s">
        <v>1431</v>
      </c>
      <c r="F453" s="9" t="s">
        <v>1435</v>
      </c>
      <c r="G453" s="11" t="s">
        <v>111</v>
      </c>
      <c r="H453" s="8" t="s">
        <v>1436</v>
      </c>
      <c r="I453" s="3" t="s">
        <v>681</v>
      </c>
      <c r="J453" s="5" t="s">
        <v>1437</v>
      </c>
    </row>
    <row r="454" customFormat="false" ht="15" hidden="false" customHeight="false" outlineLevel="0" collapsed="false">
      <c r="A454" s="3" t="n">
        <v>453</v>
      </c>
      <c r="B454" s="17" t="s">
        <v>1376</v>
      </c>
      <c r="C454" s="3" t="s">
        <v>1377</v>
      </c>
      <c r="D454" s="5" t="s">
        <v>1378</v>
      </c>
      <c r="E454" s="5" t="s">
        <v>1431</v>
      </c>
      <c r="F454" s="9" t="s">
        <v>1438</v>
      </c>
      <c r="G454" s="12" t="s">
        <v>168</v>
      </c>
      <c r="H454" s="13" t="s">
        <v>169</v>
      </c>
      <c r="I454" s="3" t="s">
        <v>169</v>
      </c>
      <c r="J454" s="5" t="s">
        <v>1439</v>
      </c>
    </row>
    <row r="455" customFormat="false" ht="15" hidden="false" customHeight="false" outlineLevel="0" collapsed="false">
      <c r="A455" s="3" t="n">
        <v>454</v>
      </c>
      <c r="B455" s="17" t="s">
        <v>1376</v>
      </c>
      <c r="C455" s="3" t="s">
        <v>1377</v>
      </c>
      <c r="D455" s="5" t="s">
        <v>1378</v>
      </c>
      <c r="E455" s="5" t="s">
        <v>1431</v>
      </c>
      <c r="F455" s="9" t="s">
        <v>1440</v>
      </c>
      <c r="G455" s="12" t="s">
        <v>168</v>
      </c>
      <c r="H455" s="13" t="s">
        <v>169</v>
      </c>
      <c r="I455" s="3" t="s">
        <v>169</v>
      </c>
      <c r="J455" s="5" t="s">
        <v>1441</v>
      </c>
    </row>
    <row r="456" customFormat="false" ht="15" hidden="false" customHeight="false" outlineLevel="0" collapsed="false">
      <c r="A456" s="3" t="n">
        <v>455</v>
      </c>
      <c r="B456" s="17" t="s">
        <v>1376</v>
      </c>
      <c r="C456" s="3" t="s">
        <v>1377</v>
      </c>
      <c r="D456" s="5" t="s">
        <v>1378</v>
      </c>
      <c r="E456" s="5" t="s">
        <v>1431</v>
      </c>
      <c r="F456" s="9" t="s">
        <v>1442</v>
      </c>
      <c r="G456" s="11" t="s">
        <v>111</v>
      </c>
      <c r="H456" s="8" t="s">
        <v>1443</v>
      </c>
      <c r="I456" s="3" t="s">
        <v>331</v>
      </c>
      <c r="J456" s="5" t="s">
        <v>1444</v>
      </c>
    </row>
    <row r="457" customFormat="false" ht="15" hidden="false" customHeight="false" outlineLevel="0" collapsed="false">
      <c r="A457" s="3" t="n">
        <v>456</v>
      </c>
      <c r="B457" s="17" t="s">
        <v>1376</v>
      </c>
      <c r="C457" s="3" t="s">
        <v>1377</v>
      </c>
      <c r="D457" s="5" t="s">
        <v>1378</v>
      </c>
      <c r="E457" s="5" t="s">
        <v>1431</v>
      </c>
      <c r="F457" s="9" t="s">
        <v>1445</v>
      </c>
      <c r="G457" s="11" t="s">
        <v>111</v>
      </c>
      <c r="H457" s="8" t="s">
        <v>1446</v>
      </c>
      <c r="I457" s="3" t="s">
        <v>53</v>
      </c>
      <c r="J457" s="5" t="s">
        <v>1447</v>
      </c>
    </row>
    <row r="458" customFormat="false" ht="15" hidden="false" customHeight="false" outlineLevel="0" collapsed="false">
      <c r="A458" s="3" t="n">
        <v>457</v>
      </c>
      <c r="B458" s="17" t="s">
        <v>1376</v>
      </c>
      <c r="C458" s="3" t="s">
        <v>1377</v>
      </c>
      <c r="D458" s="5" t="s">
        <v>1378</v>
      </c>
      <c r="E458" s="5" t="s">
        <v>1448</v>
      </c>
      <c r="F458" s="9" t="s">
        <v>1449</v>
      </c>
      <c r="G458" s="16" t="s">
        <v>303</v>
      </c>
      <c r="H458" s="13" t="s">
        <v>1450</v>
      </c>
      <c r="I458" s="3" t="s">
        <v>538</v>
      </c>
      <c r="J458" s="5" t="s">
        <v>1451</v>
      </c>
    </row>
    <row r="459" customFormat="false" ht="15" hidden="false" customHeight="false" outlineLevel="0" collapsed="false">
      <c r="A459" s="3" t="n">
        <v>458</v>
      </c>
      <c r="B459" s="17" t="s">
        <v>1376</v>
      </c>
      <c r="C459" s="3" t="s">
        <v>1377</v>
      </c>
      <c r="D459" s="5" t="s">
        <v>1378</v>
      </c>
      <c r="E459" s="5" t="s">
        <v>1448</v>
      </c>
      <c r="F459" s="9" t="s">
        <v>1452</v>
      </c>
      <c r="G459" s="16" t="s">
        <v>303</v>
      </c>
      <c r="H459" s="13" t="s">
        <v>1453</v>
      </c>
      <c r="I459" s="3" t="s">
        <v>538</v>
      </c>
      <c r="J459" s="5" t="s">
        <v>1454</v>
      </c>
    </row>
    <row r="460" customFormat="false" ht="15" hidden="false" customHeight="false" outlineLevel="0" collapsed="false">
      <c r="A460" s="3" t="n">
        <v>459</v>
      </c>
      <c r="B460" s="17" t="s">
        <v>1376</v>
      </c>
      <c r="C460" s="3" t="s">
        <v>1377</v>
      </c>
      <c r="D460" s="5" t="s">
        <v>1378</v>
      </c>
      <c r="E460" s="5" t="s">
        <v>1448</v>
      </c>
      <c r="F460" s="9" t="s">
        <v>1455</v>
      </c>
      <c r="G460" s="16" t="s">
        <v>303</v>
      </c>
      <c r="H460" s="13" t="s">
        <v>1456</v>
      </c>
      <c r="I460" s="3" t="s">
        <v>538</v>
      </c>
      <c r="J460" s="5" t="s">
        <v>1457</v>
      </c>
    </row>
    <row r="461" customFormat="false" ht="15" hidden="false" customHeight="false" outlineLevel="0" collapsed="false">
      <c r="A461" s="3" t="n">
        <v>460</v>
      </c>
      <c r="B461" s="17" t="s">
        <v>1376</v>
      </c>
      <c r="C461" s="3" t="s">
        <v>1377</v>
      </c>
      <c r="D461" s="5" t="s">
        <v>1378</v>
      </c>
      <c r="E461" s="5" t="s">
        <v>1448</v>
      </c>
      <c r="F461" s="6" t="s">
        <v>1458</v>
      </c>
      <c r="G461" s="16" t="s">
        <v>303</v>
      </c>
      <c r="H461" s="13" t="s">
        <v>1459</v>
      </c>
      <c r="I461" s="3" t="s">
        <v>538</v>
      </c>
      <c r="J461" s="5" t="s">
        <v>1460</v>
      </c>
    </row>
    <row r="462" customFormat="false" ht="15" hidden="false" customHeight="false" outlineLevel="0" collapsed="false">
      <c r="A462" s="3" t="n">
        <v>461</v>
      </c>
      <c r="B462" s="17" t="s">
        <v>1376</v>
      </c>
      <c r="C462" s="3" t="s">
        <v>1377</v>
      </c>
      <c r="D462" s="5" t="s">
        <v>1378</v>
      </c>
      <c r="E462" s="5" t="s">
        <v>1448</v>
      </c>
      <c r="F462" s="9" t="s">
        <v>1461</v>
      </c>
      <c r="G462" s="16" t="s">
        <v>303</v>
      </c>
      <c r="H462" s="13" t="s">
        <v>1462</v>
      </c>
      <c r="I462" s="3" t="s">
        <v>538</v>
      </c>
      <c r="J462" s="5" t="s">
        <v>1463</v>
      </c>
    </row>
    <row r="463" customFormat="false" ht="15" hidden="false" customHeight="false" outlineLevel="0" collapsed="false">
      <c r="A463" s="3" t="n">
        <v>462</v>
      </c>
      <c r="B463" s="17" t="s">
        <v>1376</v>
      </c>
      <c r="C463" s="3" t="s">
        <v>1377</v>
      </c>
      <c r="D463" s="5" t="s">
        <v>1378</v>
      </c>
      <c r="E463" s="5" t="s">
        <v>1448</v>
      </c>
      <c r="F463" s="9" t="s">
        <v>1464</v>
      </c>
      <c r="G463" s="11" t="s">
        <v>111</v>
      </c>
      <c r="H463" s="8" t="s">
        <v>1465</v>
      </c>
      <c r="I463" s="3" t="s">
        <v>681</v>
      </c>
      <c r="J463" s="5" t="s">
        <v>1466</v>
      </c>
    </row>
    <row r="464" customFormat="false" ht="15" hidden="false" customHeight="false" outlineLevel="0" collapsed="false">
      <c r="A464" s="3" t="n">
        <v>463</v>
      </c>
      <c r="B464" s="17" t="s">
        <v>1376</v>
      </c>
      <c r="C464" s="3" t="s">
        <v>1377</v>
      </c>
      <c r="D464" s="5" t="s">
        <v>1378</v>
      </c>
      <c r="E464" s="5" t="s">
        <v>1467</v>
      </c>
      <c r="F464" s="9" t="s">
        <v>1468</v>
      </c>
      <c r="G464" s="11" t="s">
        <v>111</v>
      </c>
      <c r="H464" s="8" t="s">
        <v>1469</v>
      </c>
      <c r="I464" s="3" t="s">
        <v>871</v>
      </c>
      <c r="J464" s="5" t="s">
        <v>1470</v>
      </c>
    </row>
    <row r="465" customFormat="false" ht="15" hidden="false" customHeight="false" outlineLevel="0" collapsed="false">
      <c r="A465" s="3" t="n">
        <v>464</v>
      </c>
      <c r="B465" s="17" t="s">
        <v>1376</v>
      </c>
      <c r="C465" s="3" t="s">
        <v>1377</v>
      </c>
      <c r="D465" s="5" t="s">
        <v>1378</v>
      </c>
      <c r="E465" s="5" t="s">
        <v>1467</v>
      </c>
      <c r="F465" s="9" t="s">
        <v>1471</v>
      </c>
      <c r="G465" s="11" t="s">
        <v>111</v>
      </c>
      <c r="H465" s="8" t="s">
        <v>1472</v>
      </c>
      <c r="I465" s="3" t="s">
        <v>25</v>
      </c>
      <c r="J465" s="5" t="s">
        <v>1473</v>
      </c>
    </row>
    <row r="466" customFormat="false" ht="15" hidden="false" customHeight="false" outlineLevel="0" collapsed="false">
      <c r="A466" s="3" t="n">
        <v>465</v>
      </c>
      <c r="B466" s="17" t="s">
        <v>1376</v>
      </c>
      <c r="C466" s="3" t="s">
        <v>1377</v>
      </c>
      <c r="D466" s="5" t="s">
        <v>1378</v>
      </c>
      <c r="E466" s="5" t="s">
        <v>1467</v>
      </c>
      <c r="F466" s="9" t="s">
        <v>1474</v>
      </c>
      <c r="G466" s="7" t="s">
        <v>15</v>
      </c>
      <c r="H466" s="8" t="s">
        <v>1475</v>
      </c>
      <c r="I466" s="3" t="s">
        <v>65</v>
      </c>
      <c r="J466" s="5" t="s">
        <v>1476</v>
      </c>
    </row>
    <row r="467" customFormat="false" ht="15" hidden="false" customHeight="false" outlineLevel="0" collapsed="false">
      <c r="A467" s="3" t="n">
        <v>466</v>
      </c>
      <c r="B467" s="17" t="s">
        <v>1376</v>
      </c>
      <c r="C467" s="3" t="s">
        <v>1377</v>
      </c>
      <c r="D467" s="5" t="s">
        <v>1378</v>
      </c>
      <c r="E467" s="5" t="s">
        <v>1467</v>
      </c>
      <c r="F467" s="9" t="s">
        <v>1477</v>
      </c>
      <c r="G467" s="7" t="s">
        <v>15</v>
      </c>
      <c r="H467" s="8" t="s">
        <v>1478</v>
      </c>
      <c r="I467" s="3" t="s">
        <v>17</v>
      </c>
      <c r="J467" s="5" t="s">
        <v>1479</v>
      </c>
    </row>
    <row r="468" customFormat="false" ht="15" hidden="false" customHeight="false" outlineLevel="0" collapsed="false">
      <c r="A468" s="3" t="n">
        <v>467</v>
      </c>
      <c r="B468" s="17" t="s">
        <v>1376</v>
      </c>
      <c r="C468" s="3" t="s">
        <v>1377</v>
      </c>
      <c r="D468" s="5" t="s">
        <v>1378</v>
      </c>
      <c r="E468" s="5" t="s">
        <v>1467</v>
      </c>
      <c r="F468" s="9" t="s">
        <v>1480</v>
      </c>
      <c r="G468" s="11" t="s">
        <v>111</v>
      </c>
      <c r="H468" s="8" t="s">
        <v>1481</v>
      </c>
      <c r="I468" s="3" t="s">
        <v>871</v>
      </c>
      <c r="J468" s="5" t="s">
        <v>1482</v>
      </c>
    </row>
    <row r="469" customFormat="false" ht="15" hidden="false" customHeight="false" outlineLevel="0" collapsed="false">
      <c r="A469" s="3" t="n">
        <v>468</v>
      </c>
      <c r="B469" s="17" t="s">
        <v>1376</v>
      </c>
      <c r="C469" s="3" t="s">
        <v>1377</v>
      </c>
      <c r="D469" s="5" t="s">
        <v>1378</v>
      </c>
      <c r="E469" s="5" t="s">
        <v>1467</v>
      </c>
      <c r="F469" s="9" t="s">
        <v>1483</v>
      </c>
      <c r="G469" s="11" t="s">
        <v>111</v>
      </c>
      <c r="H469" s="8" t="s">
        <v>1484</v>
      </c>
      <c r="I469" s="3" t="s">
        <v>331</v>
      </c>
      <c r="J469" s="5" t="s">
        <v>1485</v>
      </c>
    </row>
    <row r="470" customFormat="false" ht="15" hidden="false" customHeight="false" outlineLevel="0" collapsed="false">
      <c r="A470" s="3" t="n">
        <v>469</v>
      </c>
      <c r="B470" s="17" t="s">
        <v>1376</v>
      </c>
      <c r="C470" s="3" t="s">
        <v>1377</v>
      </c>
      <c r="D470" s="5" t="s">
        <v>1378</v>
      </c>
      <c r="E470" s="5" t="s">
        <v>1486</v>
      </c>
      <c r="F470" s="6" t="s">
        <v>1487</v>
      </c>
      <c r="G470" s="16" t="s">
        <v>303</v>
      </c>
      <c r="H470" s="13" t="s">
        <v>1488</v>
      </c>
      <c r="I470" s="3" t="s">
        <v>169</v>
      </c>
      <c r="J470" s="5" t="s">
        <v>1489</v>
      </c>
    </row>
    <row r="471" customFormat="false" ht="15" hidden="false" customHeight="false" outlineLevel="0" collapsed="false">
      <c r="A471" s="3" t="n">
        <v>470</v>
      </c>
      <c r="B471" s="17" t="s">
        <v>1376</v>
      </c>
      <c r="C471" s="3" t="s">
        <v>1377</v>
      </c>
      <c r="D471" s="5" t="s">
        <v>1378</v>
      </c>
      <c r="E471" s="5" t="s">
        <v>1486</v>
      </c>
      <c r="F471" s="9" t="s">
        <v>1490</v>
      </c>
      <c r="G471" s="16" t="s">
        <v>303</v>
      </c>
      <c r="H471" s="13" t="s">
        <v>1491</v>
      </c>
      <c r="I471" s="3" t="s">
        <v>169</v>
      </c>
      <c r="J471" s="5" t="s">
        <v>1492</v>
      </c>
    </row>
    <row r="472" customFormat="false" ht="15" hidden="false" customHeight="false" outlineLevel="0" collapsed="false">
      <c r="A472" s="3" t="n">
        <v>471</v>
      </c>
      <c r="B472" s="17" t="s">
        <v>1376</v>
      </c>
      <c r="C472" s="3" t="s">
        <v>1377</v>
      </c>
      <c r="D472" s="5" t="s">
        <v>1378</v>
      </c>
      <c r="E472" s="5" t="s">
        <v>1486</v>
      </c>
      <c r="F472" s="9" t="s">
        <v>1493</v>
      </c>
      <c r="G472" s="16" t="s">
        <v>303</v>
      </c>
      <c r="H472" s="13" t="s">
        <v>1494</v>
      </c>
      <c r="I472" s="3" t="s">
        <v>169</v>
      </c>
      <c r="J472" s="5" t="s">
        <v>1495</v>
      </c>
    </row>
    <row r="473" customFormat="false" ht="15" hidden="false" customHeight="false" outlineLevel="0" collapsed="false">
      <c r="A473" s="3" t="n">
        <v>472</v>
      </c>
      <c r="B473" s="17" t="s">
        <v>1376</v>
      </c>
      <c r="C473" s="3" t="s">
        <v>1377</v>
      </c>
      <c r="D473" s="5" t="s">
        <v>1378</v>
      </c>
      <c r="E473" s="5" t="s">
        <v>1486</v>
      </c>
      <c r="F473" s="9" t="s">
        <v>1496</v>
      </c>
      <c r="G473" s="16" t="s">
        <v>303</v>
      </c>
      <c r="H473" s="13" t="s">
        <v>1497</v>
      </c>
      <c r="I473" s="3" t="s">
        <v>169</v>
      </c>
      <c r="J473" s="5" t="s">
        <v>1498</v>
      </c>
    </row>
    <row r="474" customFormat="false" ht="15" hidden="false" customHeight="false" outlineLevel="0" collapsed="false">
      <c r="A474" s="3" t="n">
        <v>473</v>
      </c>
      <c r="B474" s="17" t="s">
        <v>1376</v>
      </c>
      <c r="C474" s="3" t="s">
        <v>1377</v>
      </c>
      <c r="D474" s="5" t="s">
        <v>1378</v>
      </c>
      <c r="E474" s="5" t="s">
        <v>1486</v>
      </c>
      <c r="F474" s="9" t="s">
        <v>1499</v>
      </c>
      <c r="G474" s="16" t="s">
        <v>303</v>
      </c>
      <c r="H474" s="13" t="s">
        <v>1500</v>
      </c>
      <c r="I474" s="3" t="s">
        <v>29</v>
      </c>
      <c r="J474" s="10" t="s">
        <v>1501</v>
      </c>
    </row>
    <row r="475" customFormat="false" ht="15" hidden="false" customHeight="false" outlineLevel="0" collapsed="false">
      <c r="A475" s="3" t="n">
        <v>474</v>
      </c>
      <c r="B475" s="17" t="s">
        <v>1376</v>
      </c>
      <c r="C475" s="3" t="s">
        <v>1377</v>
      </c>
      <c r="D475" s="5" t="s">
        <v>1378</v>
      </c>
      <c r="E475" s="5" t="s">
        <v>1486</v>
      </c>
      <c r="F475" s="6" t="s">
        <v>1502</v>
      </c>
      <c r="G475" s="16" t="s">
        <v>303</v>
      </c>
      <c r="H475" s="13" t="s">
        <v>1503</v>
      </c>
      <c r="I475" s="3" t="s">
        <v>57</v>
      </c>
      <c r="J475" s="10" t="s">
        <v>1504</v>
      </c>
    </row>
    <row r="476" customFormat="false" ht="15" hidden="false" customHeight="false" outlineLevel="0" collapsed="false">
      <c r="A476" s="3" t="n">
        <v>475</v>
      </c>
      <c r="B476" s="17" t="s">
        <v>1376</v>
      </c>
      <c r="C476" s="3" t="s">
        <v>1377</v>
      </c>
      <c r="D476" s="5" t="s">
        <v>1378</v>
      </c>
      <c r="E476" s="5" t="s">
        <v>1505</v>
      </c>
      <c r="F476" s="9" t="s">
        <v>1506</v>
      </c>
      <c r="G476" s="16" t="s">
        <v>303</v>
      </c>
      <c r="H476" s="13" t="s">
        <v>1507</v>
      </c>
      <c r="I476" s="3" t="s">
        <v>538</v>
      </c>
      <c r="J476" s="5" t="s">
        <v>1508</v>
      </c>
    </row>
    <row r="477" customFormat="false" ht="15" hidden="false" customHeight="false" outlineLevel="0" collapsed="false">
      <c r="A477" s="3" t="n">
        <v>476</v>
      </c>
      <c r="B477" s="17" t="s">
        <v>1376</v>
      </c>
      <c r="C477" s="3" t="s">
        <v>1377</v>
      </c>
      <c r="D477" s="5" t="s">
        <v>1378</v>
      </c>
      <c r="E477" s="5" t="s">
        <v>1505</v>
      </c>
      <c r="F477" s="9" t="s">
        <v>1509</v>
      </c>
      <c r="G477" s="16" t="s">
        <v>303</v>
      </c>
      <c r="H477" s="13" t="s">
        <v>1510</v>
      </c>
      <c r="I477" s="3" t="s">
        <v>538</v>
      </c>
      <c r="J477" s="5" t="s">
        <v>1511</v>
      </c>
    </row>
    <row r="478" customFormat="false" ht="15" hidden="false" customHeight="false" outlineLevel="0" collapsed="false">
      <c r="A478" s="3" t="n">
        <v>477</v>
      </c>
      <c r="B478" s="17" t="s">
        <v>1376</v>
      </c>
      <c r="C478" s="3" t="s">
        <v>1377</v>
      </c>
      <c r="D478" s="5" t="s">
        <v>1378</v>
      </c>
      <c r="E478" s="5" t="s">
        <v>1505</v>
      </c>
      <c r="F478" s="6" t="s">
        <v>1512</v>
      </c>
      <c r="G478" s="12" t="s">
        <v>168</v>
      </c>
      <c r="H478" s="13" t="s">
        <v>169</v>
      </c>
      <c r="I478" s="3" t="s">
        <v>169</v>
      </c>
      <c r="J478" s="10" t="s">
        <v>1513</v>
      </c>
    </row>
    <row r="479" customFormat="false" ht="15" hidden="false" customHeight="false" outlineLevel="0" collapsed="false">
      <c r="A479" s="3" t="n">
        <v>478</v>
      </c>
      <c r="B479" s="17" t="s">
        <v>1376</v>
      </c>
      <c r="C479" s="3" t="s">
        <v>1377</v>
      </c>
      <c r="D479" s="5" t="s">
        <v>1378</v>
      </c>
      <c r="E479" s="5" t="s">
        <v>1505</v>
      </c>
      <c r="F479" s="9" t="s">
        <v>1514</v>
      </c>
      <c r="G479" s="16" t="s">
        <v>303</v>
      </c>
      <c r="H479" s="13" t="s">
        <v>1515</v>
      </c>
      <c r="I479" s="3" t="s">
        <v>29</v>
      </c>
      <c r="J479" s="5" t="s">
        <v>1516</v>
      </c>
    </row>
    <row r="480" customFormat="false" ht="15" hidden="false" customHeight="false" outlineLevel="0" collapsed="false">
      <c r="A480" s="3" t="n">
        <v>479</v>
      </c>
      <c r="B480" s="17" t="s">
        <v>1376</v>
      </c>
      <c r="C480" s="3" t="s">
        <v>1377</v>
      </c>
      <c r="D480" s="5" t="s">
        <v>1378</v>
      </c>
      <c r="E480" s="5" t="s">
        <v>1505</v>
      </c>
      <c r="F480" s="6" t="s">
        <v>1517</v>
      </c>
      <c r="G480" s="12" t="s">
        <v>168</v>
      </c>
      <c r="H480" s="13" t="s">
        <v>169</v>
      </c>
      <c r="I480" s="3" t="s">
        <v>169</v>
      </c>
      <c r="J480" s="5" t="s">
        <v>1518</v>
      </c>
    </row>
    <row r="481" customFormat="false" ht="15" hidden="false" customHeight="false" outlineLevel="0" collapsed="false">
      <c r="A481" s="3" t="n">
        <v>480</v>
      </c>
      <c r="B481" s="17" t="s">
        <v>1376</v>
      </c>
      <c r="C481" s="3" t="s">
        <v>1377</v>
      </c>
      <c r="D481" s="5" t="s">
        <v>1378</v>
      </c>
      <c r="E481" s="5" t="s">
        <v>1505</v>
      </c>
      <c r="F481" s="9" t="s">
        <v>1519</v>
      </c>
      <c r="G481" s="11" t="s">
        <v>111</v>
      </c>
      <c r="H481" s="8" t="s">
        <v>1520</v>
      </c>
      <c r="I481" s="3" t="s">
        <v>871</v>
      </c>
      <c r="J481" s="5" t="s">
        <v>1521</v>
      </c>
    </row>
    <row r="482" customFormat="false" ht="15" hidden="false" customHeight="false" outlineLevel="0" collapsed="false">
      <c r="A482" s="3" t="n">
        <v>481</v>
      </c>
      <c r="B482" s="17" t="s">
        <v>1376</v>
      </c>
      <c r="C482" s="3" t="s">
        <v>1522</v>
      </c>
      <c r="D482" s="5" t="s">
        <v>1523</v>
      </c>
      <c r="E482" s="5" t="s">
        <v>1524</v>
      </c>
      <c r="F482" s="9" t="s">
        <v>1525</v>
      </c>
      <c r="G482" s="7" t="s">
        <v>15</v>
      </c>
      <c r="H482" s="8" t="s">
        <v>1526</v>
      </c>
      <c r="I482" s="3" t="s">
        <v>72</v>
      </c>
      <c r="J482" s="5" t="s">
        <v>1527</v>
      </c>
    </row>
    <row r="483" customFormat="false" ht="15" hidden="false" customHeight="false" outlineLevel="0" collapsed="false">
      <c r="A483" s="3" t="n">
        <v>482</v>
      </c>
      <c r="B483" s="17" t="s">
        <v>1376</v>
      </c>
      <c r="C483" s="3" t="s">
        <v>1522</v>
      </c>
      <c r="D483" s="5" t="s">
        <v>1523</v>
      </c>
      <c r="E483" s="5" t="s">
        <v>1524</v>
      </c>
      <c r="F483" s="9" t="s">
        <v>1528</v>
      </c>
      <c r="G483" s="7" t="s">
        <v>15</v>
      </c>
      <c r="H483" s="8" t="s">
        <v>1529</v>
      </c>
      <c r="I483" s="3" t="s">
        <v>80</v>
      </c>
      <c r="J483" s="5" t="s">
        <v>1530</v>
      </c>
    </row>
    <row r="484" customFormat="false" ht="15" hidden="false" customHeight="false" outlineLevel="0" collapsed="false">
      <c r="A484" s="3" t="n">
        <v>483</v>
      </c>
      <c r="B484" s="17" t="s">
        <v>1376</v>
      </c>
      <c r="C484" s="3" t="s">
        <v>1522</v>
      </c>
      <c r="D484" s="5" t="s">
        <v>1523</v>
      </c>
      <c r="E484" s="5" t="s">
        <v>1524</v>
      </c>
      <c r="F484" s="9" t="s">
        <v>1531</v>
      </c>
      <c r="G484" s="7" t="s">
        <v>15</v>
      </c>
      <c r="H484" s="8" t="s">
        <v>1532</v>
      </c>
      <c r="I484" s="3" t="s">
        <v>57</v>
      </c>
      <c r="J484" s="5" t="s">
        <v>1533</v>
      </c>
    </row>
    <row r="485" customFormat="false" ht="15" hidden="false" customHeight="false" outlineLevel="0" collapsed="false">
      <c r="A485" s="3" t="n">
        <v>484</v>
      </c>
      <c r="B485" s="17" t="s">
        <v>1376</v>
      </c>
      <c r="C485" s="3" t="s">
        <v>1522</v>
      </c>
      <c r="D485" s="5" t="s">
        <v>1523</v>
      </c>
      <c r="E485" s="5" t="s">
        <v>1524</v>
      </c>
      <c r="F485" s="9" t="s">
        <v>1534</v>
      </c>
      <c r="G485" s="7" t="s">
        <v>15</v>
      </c>
      <c r="H485" s="8" t="s">
        <v>1535</v>
      </c>
      <c r="I485" s="3" t="s">
        <v>17</v>
      </c>
      <c r="J485" s="5" t="s">
        <v>1536</v>
      </c>
    </row>
    <row r="486" customFormat="false" ht="15" hidden="false" customHeight="false" outlineLevel="0" collapsed="false">
      <c r="A486" s="3" t="n">
        <v>485</v>
      </c>
      <c r="B486" s="17" t="s">
        <v>1376</v>
      </c>
      <c r="C486" s="3" t="s">
        <v>1522</v>
      </c>
      <c r="D486" s="5" t="s">
        <v>1523</v>
      </c>
      <c r="E486" s="5" t="s">
        <v>1524</v>
      </c>
      <c r="F486" s="9" t="s">
        <v>1537</v>
      </c>
      <c r="G486" s="11" t="s">
        <v>111</v>
      </c>
      <c r="H486" s="8" t="s">
        <v>1538</v>
      </c>
      <c r="I486" s="3" t="s">
        <v>53</v>
      </c>
      <c r="J486" s="5" t="s">
        <v>1539</v>
      </c>
    </row>
    <row r="487" customFormat="false" ht="15" hidden="false" customHeight="false" outlineLevel="0" collapsed="false">
      <c r="A487" s="3" t="n">
        <v>486</v>
      </c>
      <c r="B487" s="17" t="s">
        <v>1376</v>
      </c>
      <c r="C487" s="3" t="s">
        <v>1522</v>
      </c>
      <c r="D487" s="5" t="s">
        <v>1523</v>
      </c>
      <c r="E487" s="5" t="s">
        <v>1524</v>
      </c>
      <c r="F487" s="9" t="s">
        <v>1540</v>
      </c>
      <c r="G487" s="12" t="s">
        <v>168</v>
      </c>
      <c r="H487" s="13" t="s">
        <v>169</v>
      </c>
      <c r="I487" s="3" t="s">
        <v>169</v>
      </c>
      <c r="J487" s="5" t="s">
        <v>1541</v>
      </c>
    </row>
    <row r="488" customFormat="false" ht="15" hidden="false" customHeight="false" outlineLevel="0" collapsed="false">
      <c r="A488" s="3" t="n">
        <v>487</v>
      </c>
      <c r="B488" s="17" t="s">
        <v>1376</v>
      </c>
      <c r="C488" s="3" t="s">
        <v>1522</v>
      </c>
      <c r="D488" s="5" t="s">
        <v>1523</v>
      </c>
      <c r="E488" s="5" t="s">
        <v>1542</v>
      </c>
      <c r="F488" s="6" t="s">
        <v>1543</v>
      </c>
      <c r="G488" s="12" t="s">
        <v>168</v>
      </c>
      <c r="H488" s="13" t="s">
        <v>169</v>
      </c>
      <c r="I488" s="3" t="s">
        <v>169</v>
      </c>
      <c r="J488" s="10" t="s">
        <v>1544</v>
      </c>
    </row>
    <row r="489" customFormat="false" ht="15" hidden="false" customHeight="false" outlineLevel="0" collapsed="false">
      <c r="A489" s="3" t="n">
        <v>488</v>
      </c>
      <c r="B489" s="17" t="s">
        <v>1376</v>
      </c>
      <c r="C489" s="3" t="s">
        <v>1522</v>
      </c>
      <c r="D489" s="5" t="s">
        <v>1523</v>
      </c>
      <c r="E489" s="5" t="s">
        <v>1542</v>
      </c>
      <c r="F489" s="9" t="s">
        <v>1545</v>
      </c>
      <c r="G489" s="12" t="s">
        <v>168</v>
      </c>
      <c r="H489" s="13" t="s">
        <v>169</v>
      </c>
      <c r="I489" s="3" t="s">
        <v>169</v>
      </c>
      <c r="J489" s="10" t="s">
        <v>1546</v>
      </c>
    </row>
    <row r="490" customFormat="false" ht="15" hidden="false" customHeight="false" outlineLevel="0" collapsed="false">
      <c r="A490" s="3" t="n">
        <v>489</v>
      </c>
      <c r="B490" s="17" t="s">
        <v>1376</v>
      </c>
      <c r="C490" s="3" t="s">
        <v>1522</v>
      </c>
      <c r="D490" s="5" t="s">
        <v>1523</v>
      </c>
      <c r="E490" s="5" t="s">
        <v>1542</v>
      </c>
      <c r="F490" s="9" t="s">
        <v>1547</v>
      </c>
      <c r="G490" s="7" t="s">
        <v>15</v>
      </c>
      <c r="H490" s="8" t="s">
        <v>1548</v>
      </c>
      <c r="I490" s="3" t="s">
        <v>29</v>
      </c>
      <c r="J490" s="10" t="s">
        <v>1549</v>
      </c>
    </row>
    <row r="491" customFormat="false" ht="15" hidden="false" customHeight="false" outlineLevel="0" collapsed="false">
      <c r="A491" s="3" t="n">
        <v>490</v>
      </c>
      <c r="B491" s="17" t="s">
        <v>1376</v>
      </c>
      <c r="C491" s="3" t="s">
        <v>1522</v>
      </c>
      <c r="D491" s="5" t="s">
        <v>1523</v>
      </c>
      <c r="E491" s="5" t="s">
        <v>1542</v>
      </c>
      <c r="F491" s="9" t="s">
        <v>1550</v>
      </c>
      <c r="G491" s="12" t="s">
        <v>168</v>
      </c>
      <c r="H491" s="13" t="s">
        <v>169</v>
      </c>
      <c r="I491" s="3" t="s">
        <v>169</v>
      </c>
      <c r="J491" s="5" t="s">
        <v>1551</v>
      </c>
    </row>
    <row r="492" customFormat="false" ht="15" hidden="false" customHeight="false" outlineLevel="0" collapsed="false">
      <c r="A492" s="3" t="n">
        <v>491</v>
      </c>
      <c r="B492" s="17" t="s">
        <v>1376</v>
      </c>
      <c r="C492" s="3" t="s">
        <v>1522</v>
      </c>
      <c r="D492" s="5" t="s">
        <v>1523</v>
      </c>
      <c r="E492" s="5" t="s">
        <v>1542</v>
      </c>
      <c r="F492" s="9" t="s">
        <v>1552</v>
      </c>
      <c r="G492" s="12" t="s">
        <v>168</v>
      </c>
      <c r="H492" s="13" t="s">
        <v>169</v>
      </c>
      <c r="I492" s="3" t="s">
        <v>169</v>
      </c>
      <c r="J492" s="5" t="s">
        <v>1553</v>
      </c>
    </row>
    <row r="493" customFormat="false" ht="15" hidden="false" customHeight="false" outlineLevel="0" collapsed="false">
      <c r="A493" s="3" t="n">
        <v>492</v>
      </c>
      <c r="B493" s="17" t="s">
        <v>1376</v>
      </c>
      <c r="C493" s="3" t="s">
        <v>1522</v>
      </c>
      <c r="D493" s="5" t="s">
        <v>1523</v>
      </c>
      <c r="E493" s="5" t="s">
        <v>1542</v>
      </c>
      <c r="F493" s="9" t="s">
        <v>1554</v>
      </c>
      <c r="G493" s="7" t="s">
        <v>15</v>
      </c>
      <c r="H493" s="8" t="s">
        <v>1555</v>
      </c>
      <c r="I493" s="3" t="s">
        <v>57</v>
      </c>
      <c r="J493" s="10" t="s">
        <v>1556</v>
      </c>
    </row>
    <row r="494" customFormat="false" ht="15" hidden="false" customHeight="false" outlineLevel="0" collapsed="false">
      <c r="A494" s="3" t="n">
        <v>493</v>
      </c>
      <c r="B494" s="17" t="s">
        <v>1376</v>
      </c>
      <c r="C494" s="3" t="s">
        <v>1522</v>
      </c>
      <c r="D494" s="5" t="s">
        <v>1523</v>
      </c>
      <c r="E494" s="5" t="s">
        <v>1557</v>
      </c>
      <c r="F494" s="9" t="s">
        <v>1558</v>
      </c>
      <c r="G494" s="16" t="s">
        <v>303</v>
      </c>
      <c r="H494" s="13" t="s">
        <v>1559</v>
      </c>
      <c r="I494" s="3" t="s">
        <v>80</v>
      </c>
      <c r="J494" s="5" t="s">
        <v>1560</v>
      </c>
    </row>
    <row r="495" customFormat="false" ht="15" hidden="false" customHeight="false" outlineLevel="0" collapsed="false">
      <c r="A495" s="3" t="n">
        <v>494</v>
      </c>
      <c r="B495" s="17" t="s">
        <v>1376</v>
      </c>
      <c r="C495" s="3" t="s">
        <v>1522</v>
      </c>
      <c r="D495" s="5" t="s">
        <v>1523</v>
      </c>
      <c r="E495" s="5" t="s">
        <v>1557</v>
      </c>
      <c r="F495" s="9" t="s">
        <v>1561</v>
      </c>
      <c r="G495" s="7" t="s">
        <v>15</v>
      </c>
      <c r="H495" s="8" t="s">
        <v>1562</v>
      </c>
      <c r="I495" s="3" t="s">
        <v>17</v>
      </c>
      <c r="J495" s="5" t="s">
        <v>1563</v>
      </c>
    </row>
    <row r="496" customFormat="false" ht="15" hidden="false" customHeight="false" outlineLevel="0" collapsed="false">
      <c r="A496" s="3" t="n">
        <v>495</v>
      </c>
      <c r="B496" s="17" t="s">
        <v>1376</v>
      </c>
      <c r="C496" s="3" t="s">
        <v>1522</v>
      </c>
      <c r="D496" s="5" t="s">
        <v>1523</v>
      </c>
      <c r="E496" s="5" t="s">
        <v>1557</v>
      </c>
      <c r="F496" s="9" t="s">
        <v>1564</v>
      </c>
      <c r="G496" s="7" t="s">
        <v>15</v>
      </c>
      <c r="H496" s="8" t="s">
        <v>1565</v>
      </c>
      <c r="I496" s="3" t="s">
        <v>57</v>
      </c>
      <c r="J496" s="10" t="s">
        <v>1566</v>
      </c>
    </row>
    <row r="497" customFormat="false" ht="15" hidden="false" customHeight="false" outlineLevel="0" collapsed="false">
      <c r="A497" s="3" t="n">
        <v>496</v>
      </c>
      <c r="B497" s="17" t="s">
        <v>1376</v>
      </c>
      <c r="C497" s="3" t="s">
        <v>1522</v>
      </c>
      <c r="D497" s="5" t="s">
        <v>1523</v>
      </c>
      <c r="E497" s="5" t="s">
        <v>1557</v>
      </c>
      <c r="F497" s="9" t="s">
        <v>1567</v>
      </c>
      <c r="G497" s="7" t="s">
        <v>15</v>
      </c>
      <c r="H497" s="8" t="s">
        <v>1568</v>
      </c>
      <c r="I497" s="3" t="s">
        <v>17</v>
      </c>
      <c r="J497" s="5" t="s">
        <v>1569</v>
      </c>
    </row>
    <row r="498" customFormat="false" ht="15" hidden="false" customHeight="false" outlineLevel="0" collapsed="false">
      <c r="A498" s="3" t="n">
        <v>497</v>
      </c>
      <c r="B498" s="17" t="s">
        <v>1376</v>
      </c>
      <c r="C498" s="3" t="s">
        <v>1522</v>
      </c>
      <c r="D498" s="5" t="s">
        <v>1523</v>
      </c>
      <c r="E498" s="5" t="s">
        <v>1557</v>
      </c>
      <c r="F498" s="9" t="s">
        <v>1570</v>
      </c>
      <c r="G498" s="7" t="s">
        <v>15</v>
      </c>
      <c r="H498" s="8" t="s">
        <v>1571</v>
      </c>
      <c r="I498" s="3" t="s">
        <v>21</v>
      </c>
      <c r="J498" s="5" t="s">
        <v>1572</v>
      </c>
    </row>
    <row r="499" customFormat="false" ht="15" hidden="false" customHeight="false" outlineLevel="0" collapsed="false">
      <c r="A499" s="3" t="n">
        <v>498</v>
      </c>
      <c r="B499" s="17" t="s">
        <v>1376</v>
      </c>
      <c r="C499" s="3" t="s">
        <v>1522</v>
      </c>
      <c r="D499" s="5" t="s">
        <v>1523</v>
      </c>
      <c r="E499" s="5" t="s">
        <v>1557</v>
      </c>
      <c r="F499" s="9" t="s">
        <v>1573</v>
      </c>
      <c r="G499" s="7" t="s">
        <v>15</v>
      </c>
      <c r="H499" s="8" t="s">
        <v>1574</v>
      </c>
      <c r="I499" s="3" t="s">
        <v>142</v>
      </c>
      <c r="J499" s="5" t="s">
        <v>1575</v>
      </c>
    </row>
    <row r="500" customFormat="false" ht="15" hidden="false" customHeight="false" outlineLevel="0" collapsed="false">
      <c r="A500" s="3" t="n">
        <v>499</v>
      </c>
      <c r="B500" s="17" t="s">
        <v>1376</v>
      </c>
      <c r="C500" s="3" t="s">
        <v>1522</v>
      </c>
      <c r="D500" s="5" t="s">
        <v>1523</v>
      </c>
      <c r="E500" s="5" t="s">
        <v>1576</v>
      </c>
      <c r="F500" s="9" t="s">
        <v>1577</v>
      </c>
      <c r="G500" s="7" t="s">
        <v>15</v>
      </c>
      <c r="H500" s="8" t="s">
        <v>1578</v>
      </c>
      <c r="I500" s="3" t="s">
        <v>57</v>
      </c>
      <c r="J500" s="10" t="s">
        <v>1579</v>
      </c>
    </row>
    <row r="501" customFormat="false" ht="15" hidden="false" customHeight="false" outlineLevel="0" collapsed="false">
      <c r="A501" s="3" t="n">
        <v>500</v>
      </c>
      <c r="B501" s="17" t="s">
        <v>1376</v>
      </c>
      <c r="C501" s="3" t="s">
        <v>1522</v>
      </c>
      <c r="D501" s="5" t="s">
        <v>1523</v>
      </c>
      <c r="E501" s="5" t="s">
        <v>1576</v>
      </c>
      <c r="F501" s="9" t="s">
        <v>1580</v>
      </c>
      <c r="G501" s="16" t="s">
        <v>303</v>
      </c>
      <c r="H501" s="13" t="s">
        <v>1581</v>
      </c>
      <c r="I501" s="3" t="s">
        <v>538</v>
      </c>
      <c r="J501" s="5" t="s">
        <v>1582</v>
      </c>
    </row>
    <row r="502" customFormat="false" ht="15" hidden="false" customHeight="false" outlineLevel="0" collapsed="false">
      <c r="A502" s="3" t="n">
        <v>501</v>
      </c>
      <c r="B502" s="17" t="s">
        <v>1376</v>
      </c>
      <c r="C502" s="3" t="s">
        <v>1522</v>
      </c>
      <c r="D502" s="5" t="s">
        <v>1523</v>
      </c>
      <c r="E502" s="5" t="s">
        <v>1576</v>
      </c>
      <c r="F502" s="9" t="s">
        <v>1583</v>
      </c>
      <c r="G502" s="16" t="s">
        <v>303</v>
      </c>
      <c r="H502" s="13" t="s">
        <v>1584</v>
      </c>
      <c r="I502" s="3" t="s">
        <v>871</v>
      </c>
      <c r="J502" s="5" t="s">
        <v>1585</v>
      </c>
    </row>
    <row r="503" customFormat="false" ht="15" hidden="false" customHeight="false" outlineLevel="0" collapsed="false">
      <c r="A503" s="3" t="n">
        <v>502</v>
      </c>
      <c r="B503" s="17" t="s">
        <v>1376</v>
      </c>
      <c r="C503" s="3" t="s">
        <v>1522</v>
      </c>
      <c r="D503" s="5" t="s">
        <v>1523</v>
      </c>
      <c r="E503" s="5" t="s">
        <v>1576</v>
      </c>
      <c r="F503" s="9" t="s">
        <v>1586</v>
      </c>
      <c r="G503" s="16" t="s">
        <v>303</v>
      </c>
      <c r="H503" s="13" t="s">
        <v>1587</v>
      </c>
      <c r="I503" s="3" t="s">
        <v>538</v>
      </c>
      <c r="J503" s="10" t="s">
        <v>1588</v>
      </c>
    </row>
    <row r="504" customFormat="false" ht="15" hidden="false" customHeight="false" outlineLevel="0" collapsed="false">
      <c r="A504" s="3" t="n">
        <v>503</v>
      </c>
      <c r="B504" s="17" t="s">
        <v>1376</v>
      </c>
      <c r="C504" s="3" t="s">
        <v>1522</v>
      </c>
      <c r="D504" s="5" t="s">
        <v>1523</v>
      </c>
      <c r="E504" s="5" t="s">
        <v>1576</v>
      </c>
      <c r="F504" s="9" t="s">
        <v>1589</v>
      </c>
      <c r="G504" s="16" t="s">
        <v>303</v>
      </c>
      <c r="H504" s="13" t="s">
        <v>1590</v>
      </c>
      <c r="I504" s="3" t="s">
        <v>538</v>
      </c>
      <c r="J504" s="5" t="s">
        <v>1591</v>
      </c>
    </row>
    <row r="505" customFormat="false" ht="15" hidden="false" customHeight="false" outlineLevel="0" collapsed="false">
      <c r="A505" s="3" t="n">
        <v>504</v>
      </c>
      <c r="B505" s="17" t="s">
        <v>1376</v>
      </c>
      <c r="C505" s="3" t="s">
        <v>1522</v>
      </c>
      <c r="D505" s="5" t="s">
        <v>1523</v>
      </c>
      <c r="E505" s="5" t="s">
        <v>1576</v>
      </c>
      <c r="F505" s="9" t="s">
        <v>1592</v>
      </c>
      <c r="G505" s="7" t="s">
        <v>15</v>
      </c>
      <c r="H505" s="8" t="s">
        <v>1593</v>
      </c>
      <c r="I505" s="3" t="s">
        <v>76</v>
      </c>
      <c r="J505" s="5" t="s">
        <v>1594</v>
      </c>
    </row>
    <row r="506" customFormat="false" ht="15" hidden="false" customHeight="false" outlineLevel="0" collapsed="false">
      <c r="A506" s="3" t="n">
        <v>505</v>
      </c>
      <c r="B506" s="17" t="s">
        <v>1376</v>
      </c>
      <c r="C506" s="3" t="s">
        <v>1522</v>
      </c>
      <c r="D506" s="5" t="s">
        <v>1523</v>
      </c>
      <c r="E506" s="5" t="s">
        <v>1595</v>
      </c>
      <c r="F506" s="9" t="s">
        <v>1596</v>
      </c>
      <c r="G506" s="16" t="s">
        <v>303</v>
      </c>
      <c r="H506" s="13" t="s">
        <v>1597</v>
      </c>
      <c r="I506" s="3" t="s">
        <v>80</v>
      </c>
      <c r="J506" s="5" t="s">
        <v>1598</v>
      </c>
    </row>
    <row r="507" customFormat="false" ht="15" hidden="false" customHeight="false" outlineLevel="0" collapsed="false">
      <c r="A507" s="3" t="n">
        <v>506</v>
      </c>
      <c r="B507" s="17" t="s">
        <v>1376</v>
      </c>
      <c r="C507" s="3" t="s">
        <v>1522</v>
      </c>
      <c r="D507" s="5" t="s">
        <v>1523</v>
      </c>
      <c r="E507" s="5" t="s">
        <v>1595</v>
      </c>
      <c r="F507" s="9" t="s">
        <v>1599</v>
      </c>
      <c r="G507" s="16" t="s">
        <v>303</v>
      </c>
      <c r="H507" s="13" t="s">
        <v>1600</v>
      </c>
      <c r="I507" s="3" t="s">
        <v>80</v>
      </c>
      <c r="J507" s="5" t="s">
        <v>1601</v>
      </c>
    </row>
    <row r="508" customFormat="false" ht="15" hidden="false" customHeight="false" outlineLevel="0" collapsed="false">
      <c r="A508" s="3" t="n">
        <v>507</v>
      </c>
      <c r="B508" s="17" t="s">
        <v>1376</v>
      </c>
      <c r="C508" s="3" t="s">
        <v>1522</v>
      </c>
      <c r="D508" s="5" t="s">
        <v>1523</v>
      </c>
      <c r="E508" s="5" t="s">
        <v>1595</v>
      </c>
      <c r="F508" s="9" t="s">
        <v>1602</v>
      </c>
      <c r="G508" s="11" t="s">
        <v>111</v>
      </c>
      <c r="H508" s="8" t="s">
        <v>1603</v>
      </c>
      <c r="I508" s="3" t="s">
        <v>331</v>
      </c>
      <c r="J508" s="5" t="s">
        <v>1604</v>
      </c>
    </row>
    <row r="509" customFormat="false" ht="15" hidden="false" customHeight="false" outlineLevel="0" collapsed="false">
      <c r="A509" s="3" t="n">
        <v>508</v>
      </c>
      <c r="B509" s="17" t="s">
        <v>1376</v>
      </c>
      <c r="C509" s="3" t="s">
        <v>1522</v>
      </c>
      <c r="D509" s="5" t="s">
        <v>1523</v>
      </c>
      <c r="E509" s="5" t="s">
        <v>1595</v>
      </c>
      <c r="F509" s="9" t="s">
        <v>1605</v>
      </c>
      <c r="G509" s="12" t="s">
        <v>168</v>
      </c>
      <c r="H509" s="13" t="s">
        <v>169</v>
      </c>
      <c r="I509" s="3" t="s">
        <v>169</v>
      </c>
      <c r="J509" s="5" t="s">
        <v>1606</v>
      </c>
    </row>
    <row r="510" customFormat="false" ht="15" hidden="false" customHeight="false" outlineLevel="0" collapsed="false">
      <c r="A510" s="3" t="n">
        <v>509</v>
      </c>
      <c r="B510" s="17" t="s">
        <v>1376</v>
      </c>
      <c r="C510" s="3" t="s">
        <v>1522</v>
      </c>
      <c r="D510" s="5" t="s">
        <v>1523</v>
      </c>
      <c r="E510" s="5" t="s">
        <v>1595</v>
      </c>
      <c r="F510" s="9" t="s">
        <v>1607</v>
      </c>
      <c r="G510" s="11" t="s">
        <v>111</v>
      </c>
      <c r="H510" s="8" t="s">
        <v>1608</v>
      </c>
      <c r="I510" s="3" t="s">
        <v>331</v>
      </c>
      <c r="J510" s="5" t="s">
        <v>1609</v>
      </c>
    </row>
    <row r="511" customFormat="false" ht="15" hidden="false" customHeight="false" outlineLevel="0" collapsed="false">
      <c r="A511" s="3" t="n">
        <v>510</v>
      </c>
      <c r="B511" s="17" t="s">
        <v>1376</v>
      </c>
      <c r="C511" s="3" t="s">
        <v>1522</v>
      </c>
      <c r="D511" s="5" t="s">
        <v>1523</v>
      </c>
      <c r="E511" s="5" t="s">
        <v>1595</v>
      </c>
      <c r="F511" s="9" t="s">
        <v>1610</v>
      </c>
      <c r="G511" s="7" t="s">
        <v>15</v>
      </c>
      <c r="H511" s="8" t="s">
        <v>1611</v>
      </c>
      <c r="I511" s="3" t="s">
        <v>21</v>
      </c>
      <c r="J511" s="5" t="s">
        <v>1612</v>
      </c>
    </row>
    <row r="512" customFormat="false" ht="15" hidden="false" customHeight="false" outlineLevel="0" collapsed="false">
      <c r="A512" s="3" t="n">
        <v>511</v>
      </c>
      <c r="B512" s="17" t="s">
        <v>1376</v>
      </c>
      <c r="C512" s="3" t="s">
        <v>1522</v>
      </c>
      <c r="D512" s="5" t="s">
        <v>1523</v>
      </c>
      <c r="E512" s="5" t="s">
        <v>1613</v>
      </c>
      <c r="F512" s="6" t="s">
        <v>1614</v>
      </c>
      <c r="G512" s="7" t="s">
        <v>15</v>
      </c>
      <c r="H512" s="8" t="s">
        <v>877</v>
      </c>
      <c r="I512" s="3" t="s">
        <v>57</v>
      </c>
      <c r="J512" s="10" t="s">
        <v>1615</v>
      </c>
    </row>
    <row r="513" customFormat="false" ht="15" hidden="false" customHeight="false" outlineLevel="0" collapsed="false">
      <c r="A513" s="3" t="n">
        <v>512</v>
      </c>
      <c r="B513" s="17" t="s">
        <v>1376</v>
      </c>
      <c r="C513" s="3" t="s">
        <v>1522</v>
      </c>
      <c r="D513" s="5" t="s">
        <v>1523</v>
      </c>
      <c r="E513" s="5" t="s">
        <v>1613</v>
      </c>
      <c r="F513" s="9" t="s">
        <v>1616</v>
      </c>
      <c r="G513" s="7" t="s">
        <v>15</v>
      </c>
      <c r="H513" s="8" t="s">
        <v>1617</v>
      </c>
      <c r="I513" s="3" t="s">
        <v>1618</v>
      </c>
      <c r="J513" s="5" t="s">
        <v>1619</v>
      </c>
    </row>
    <row r="514" customFormat="false" ht="15" hidden="false" customHeight="false" outlineLevel="0" collapsed="false">
      <c r="A514" s="3" t="n">
        <v>513</v>
      </c>
      <c r="B514" s="17" t="s">
        <v>1376</v>
      </c>
      <c r="C514" s="3" t="s">
        <v>1522</v>
      </c>
      <c r="D514" s="5" t="s">
        <v>1523</v>
      </c>
      <c r="E514" s="5" t="s">
        <v>1613</v>
      </c>
      <c r="F514" s="9" t="s">
        <v>1620</v>
      </c>
      <c r="G514" s="7" t="s">
        <v>15</v>
      </c>
      <c r="H514" s="8" t="s">
        <v>1621</v>
      </c>
      <c r="I514" s="3" t="s">
        <v>363</v>
      </c>
      <c r="J514" s="5" t="s">
        <v>1622</v>
      </c>
    </row>
    <row r="515" customFormat="false" ht="15" hidden="false" customHeight="false" outlineLevel="0" collapsed="false">
      <c r="A515" s="3" t="n">
        <v>514</v>
      </c>
      <c r="B515" s="17" t="s">
        <v>1376</v>
      </c>
      <c r="C515" s="3" t="s">
        <v>1522</v>
      </c>
      <c r="D515" s="5" t="s">
        <v>1523</v>
      </c>
      <c r="E515" s="5" t="s">
        <v>1613</v>
      </c>
      <c r="F515" s="9" t="s">
        <v>1623</v>
      </c>
      <c r="G515" s="7" t="s">
        <v>15</v>
      </c>
      <c r="H515" s="8" t="s">
        <v>1624</v>
      </c>
      <c r="I515" s="3" t="s">
        <v>65</v>
      </c>
      <c r="J515" s="5" t="s">
        <v>1625</v>
      </c>
    </row>
    <row r="516" customFormat="false" ht="15" hidden="false" customHeight="false" outlineLevel="0" collapsed="false">
      <c r="A516" s="3" t="n">
        <v>515</v>
      </c>
      <c r="B516" s="17" t="s">
        <v>1376</v>
      </c>
      <c r="C516" s="3" t="s">
        <v>1522</v>
      </c>
      <c r="D516" s="5" t="s">
        <v>1523</v>
      </c>
      <c r="E516" s="5" t="s">
        <v>1613</v>
      </c>
      <c r="F516" s="9" t="s">
        <v>1626</v>
      </c>
      <c r="G516" s="7" t="s">
        <v>15</v>
      </c>
      <c r="H516" s="8" t="s">
        <v>1627</v>
      </c>
      <c r="I516" s="3" t="s">
        <v>57</v>
      </c>
      <c r="J516" s="10" t="s">
        <v>1628</v>
      </c>
    </row>
    <row r="517" customFormat="false" ht="15" hidden="false" customHeight="false" outlineLevel="0" collapsed="false">
      <c r="A517" s="3" t="n">
        <v>516</v>
      </c>
      <c r="B517" s="17" t="s">
        <v>1376</v>
      </c>
      <c r="C517" s="3" t="s">
        <v>1522</v>
      </c>
      <c r="D517" s="5" t="s">
        <v>1523</v>
      </c>
      <c r="E517" s="5" t="s">
        <v>1613</v>
      </c>
      <c r="F517" s="9" t="s">
        <v>882</v>
      </c>
      <c r="G517" s="12" t="s">
        <v>168</v>
      </c>
      <c r="H517" s="13" t="s">
        <v>169</v>
      </c>
      <c r="I517" s="3" t="s">
        <v>169</v>
      </c>
      <c r="J517" s="5" t="s">
        <v>1629</v>
      </c>
    </row>
    <row r="518" customFormat="false" ht="15" hidden="false" customHeight="false" outlineLevel="0" collapsed="false">
      <c r="A518" s="3" t="n">
        <v>517</v>
      </c>
      <c r="B518" s="17" t="s">
        <v>1376</v>
      </c>
      <c r="C518" s="3" t="s">
        <v>1522</v>
      </c>
      <c r="D518" s="5" t="s">
        <v>1523</v>
      </c>
      <c r="E518" s="5" t="s">
        <v>1630</v>
      </c>
      <c r="F518" s="9" t="s">
        <v>1631</v>
      </c>
      <c r="G518" s="12" t="s">
        <v>168</v>
      </c>
      <c r="H518" s="13" t="s">
        <v>169</v>
      </c>
      <c r="I518" s="3" t="s">
        <v>169</v>
      </c>
      <c r="J518" s="5" t="s">
        <v>1632</v>
      </c>
    </row>
    <row r="519" customFormat="false" ht="15" hidden="false" customHeight="false" outlineLevel="0" collapsed="false">
      <c r="A519" s="3" t="n">
        <v>518</v>
      </c>
      <c r="B519" s="17" t="s">
        <v>1376</v>
      </c>
      <c r="C519" s="3" t="s">
        <v>1522</v>
      </c>
      <c r="D519" s="5" t="s">
        <v>1523</v>
      </c>
      <c r="E519" s="5" t="s">
        <v>1630</v>
      </c>
      <c r="F519" s="9" t="s">
        <v>1633</v>
      </c>
      <c r="G519" s="16" t="s">
        <v>303</v>
      </c>
      <c r="H519" s="13" t="s">
        <v>1634</v>
      </c>
      <c r="I519" s="3" t="s">
        <v>538</v>
      </c>
      <c r="J519" s="5" t="s">
        <v>1635</v>
      </c>
    </row>
    <row r="520" customFormat="false" ht="15" hidden="false" customHeight="false" outlineLevel="0" collapsed="false">
      <c r="A520" s="3" t="n">
        <v>519</v>
      </c>
      <c r="B520" s="17" t="s">
        <v>1376</v>
      </c>
      <c r="C520" s="3" t="s">
        <v>1522</v>
      </c>
      <c r="D520" s="5" t="s">
        <v>1523</v>
      </c>
      <c r="E520" s="5" t="s">
        <v>1630</v>
      </c>
      <c r="F520" s="9" t="s">
        <v>1636</v>
      </c>
      <c r="G520" s="16" t="s">
        <v>303</v>
      </c>
      <c r="H520" s="13" t="s">
        <v>1637</v>
      </c>
      <c r="I520" s="3" t="s">
        <v>538</v>
      </c>
      <c r="J520" s="5" t="s">
        <v>1638</v>
      </c>
    </row>
    <row r="521" customFormat="false" ht="15" hidden="false" customHeight="false" outlineLevel="0" collapsed="false">
      <c r="A521" s="3" t="n">
        <v>520</v>
      </c>
      <c r="B521" s="17" t="s">
        <v>1376</v>
      </c>
      <c r="C521" s="3" t="s">
        <v>1522</v>
      </c>
      <c r="D521" s="5" t="s">
        <v>1523</v>
      </c>
      <c r="E521" s="5" t="s">
        <v>1630</v>
      </c>
      <c r="F521" s="9" t="s">
        <v>1639</v>
      </c>
      <c r="G521" s="7" t="s">
        <v>15</v>
      </c>
      <c r="H521" s="8" t="s">
        <v>1640</v>
      </c>
      <c r="I521" s="3" t="s">
        <v>80</v>
      </c>
      <c r="J521" s="5" t="s">
        <v>1641</v>
      </c>
    </row>
    <row r="522" customFormat="false" ht="15" hidden="false" customHeight="false" outlineLevel="0" collapsed="false">
      <c r="A522" s="3" t="n">
        <v>521</v>
      </c>
      <c r="B522" s="17" t="s">
        <v>1376</v>
      </c>
      <c r="C522" s="3" t="s">
        <v>1522</v>
      </c>
      <c r="D522" s="5" t="s">
        <v>1523</v>
      </c>
      <c r="E522" s="5" t="s">
        <v>1630</v>
      </c>
      <c r="F522" s="9" t="s">
        <v>1642</v>
      </c>
      <c r="G522" s="7" t="s">
        <v>15</v>
      </c>
      <c r="H522" s="8" t="s">
        <v>1643</v>
      </c>
      <c r="I522" s="3" t="s">
        <v>142</v>
      </c>
      <c r="J522" s="5" t="s">
        <v>1644</v>
      </c>
    </row>
    <row r="523" customFormat="false" ht="15" hidden="false" customHeight="false" outlineLevel="0" collapsed="false">
      <c r="A523" s="3" t="n">
        <v>522</v>
      </c>
      <c r="B523" s="17" t="s">
        <v>1376</v>
      </c>
      <c r="C523" s="3" t="s">
        <v>1522</v>
      </c>
      <c r="D523" s="5" t="s">
        <v>1523</v>
      </c>
      <c r="E523" s="5" t="s">
        <v>1630</v>
      </c>
      <c r="F523" s="9" t="s">
        <v>1645</v>
      </c>
      <c r="G523" s="12" t="s">
        <v>168</v>
      </c>
      <c r="H523" s="13" t="s">
        <v>169</v>
      </c>
      <c r="I523" s="3" t="s">
        <v>169</v>
      </c>
      <c r="J523" s="5" t="s">
        <v>1646</v>
      </c>
    </row>
    <row r="524" customFormat="false" ht="15" hidden="false" customHeight="false" outlineLevel="0" collapsed="false">
      <c r="A524" s="3" t="n">
        <v>523</v>
      </c>
      <c r="B524" s="17" t="s">
        <v>1376</v>
      </c>
      <c r="C524" s="3" t="s">
        <v>1522</v>
      </c>
      <c r="D524" s="5" t="s">
        <v>1523</v>
      </c>
      <c r="E524" s="5" t="s">
        <v>1647</v>
      </c>
      <c r="F524" s="9" t="s">
        <v>1648</v>
      </c>
      <c r="G524" s="11" t="s">
        <v>111</v>
      </c>
      <c r="H524" s="8" t="s">
        <v>1649</v>
      </c>
      <c r="I524" s="3" t="s">
        <v>1014</v>
      </c>
      <c r="J524" s="5" t="s">
        <v>1650</v>
      </c>
    </row>
    <row r="525" customFormat="false" ht="15" hidden="false" customHeight="false" outlineLevel="0" collapsed="false">
      <c r="A525" s="3" t="n">
        <v>524</v>
      </c>
      <c r="B525" s="17" t="s">
        <v>1376</v>
      </c>
      <c r="C525" s="3" t="s">
        <v>1522</v>
      </c>
      <c r="D525" s="5" t="s">
        <v>1523</v>
      </c>
      <c r="E525" s="5" t="s">
        <v>1647</v>
      </c>
      <c r="F525" s="9" t="s">
        <v>1651</v>
      </c>
      <c r="G525" s="11" t="s">
        <v>111</v>
      </c>
      <c r="H525" s="8" t="s">
        <v>1652</v>
      </c>
      <c r="I525" s="3" t="s">
        <v>1014</v>
      </c>
      <c r="J525" s="5" t="s">
        <v>1653</v>
      </c>
    </row>
    <row r="526" customFormat="false" ht="15" hidden="false" customHeight="false" outlineLevel="0" collapsed="false">
      <c r="A526" s="3" t="n">
        <v>525</v>
      </c>
      <c r="B526" s="17" t="s">
        <v>1376</v>
      </c>
      <c r="C526" s="3" t="s">
        <v>1522</v>
      </c>
      <c r="D526" s="5" t="s">
        <v>1523</v>
      </c>
      <c r="E526" s="5" t="s">
        <v>1647</v>
      </c>
      <c r="F526" s="6" t="s">
        <v>1654</v>
      </c>
      <c r="G526" s="7" t="s">
        <v>15</v>
      </c>
      <c r="H526" s="8" t="s">
        <v>1655</v>
      </c>
      <c r="I526" s="3" t="s">
        <v>57</v>
      </c>
      <c r="J526" s="10" t="s">
        <v>1656</v>
      </c>
    </row>
    <row r="527" customFormat="false" ht="15" hidden="false" customHeight="false" outlineLevel="0" collapsed="false">
      <c r="A527" s="3" t="n">
        <v>526</v>
      </c>
      <c r="B527" s="17" t="s">
        <v>1376</v>
      </c>
      <c r="C527" s="3" t="s">
        <v>1522</v>
      </c>
      <c r="D527" s="5" t="s">
        <v>1523</v>
      </c>
      <c r="E527" s="5" t="s">
        <v>1647</v>
      </c>
      <c r="F527" s="9" t="s">
        <v>1657</v>
      </c>
      <c r="G527" s="7" t="s">
        <v>15</v>
      </c>
      <c r="H527" s="8" t="s">
        <v>1658</v>
      </c>
      <c r="I527" s="3" t="s">
        <v>25</v>
      </c>
      <c r="J527" s="10" t="s">
        <v>1659</v>
      </c>
    </row>
    <row r="528" customFormat="false" ht="15" hidden="false" customHeight="false" outlineLevel="0" collapsed="false">
      <c r="A528" s="3" t="n">
        <v>527</v>
      </c>
      <c r="B528" s="17" t="s">
        <v>1376</v>
      </c>
      <c r="C528" s="3" t="s">
        <v>1522</v>
      </c>
      <c r="D528" s="5" t="s">
        <v>1523</v>
      </c>
      <c r="E528" s="5" t="s">
        <v>1647</v>
      </c>
      <c r="F528" s="6" t="s">
        <v>1660</v>
      </c>
      <c r="G528" s="16" t="s">
        <v>303</v>
      </c>
      <c r="H528" s="13" t="s">
        <v>1661</v>
      </c>
      <c r="I528" s="3" t="s">
        <v>538</v>
      </c>
      <c r="J528" s="5" t="s">
        <v>1662</v>
      </c>
    </row>
    <row r="529" customFormat="false" ht="15" hidden="false" customHeight="false" outlineLevel="0" collapsed="false">
      <c r="A529" s="3" t="n">
        <v>528</v>
      </c>
      <c r="B529" s="17" t="s">
        <v>1376</v>
      </c>
      <c r="C529" s="3" t="s">
        <v>1522</v>
      </c>
      <c r="D529" s="5" t="s">
        <v>1523</v>
      </c>
      <c r="E529" s="5" t="s">
        <v>1647</v>
      </c>
      <c r="F529" s="9" t="s">
        <v>1663</v>
      </c>
      <c r="G529" s="12" t="s">
        <v>168</v>
      </c>
      <c r="H529" s="13" t="s">
        <v>169</v>
      </c>
      <c r="I529" s="3" t="s">
        <v>169</v>
      </c>
      <c r="J529" s="5" t="s">
        <v>1664</v>
      </c>
    </row>
  </sheetData>
  <autoFilter ref="A1:J5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9" min="4" style="0" width="9"/>
  </cols>
  <sheetData>
    <row r="1" customFormat="false" ht="25.5" hidden="false" customHeight="true" outlineLevel="0" collapsed="false">
      <c r="A1" s="2" t="s">
        <v>2</v>
      </c>
      <c r="B1" s="2" t="s">
        <v>3</v>
      </c>
      <c r="C1" s="2" t="s">
        <v>1</v>
      </c>
      <c r="D1" s="2" t="s">
        <v>1665</v>
      </c>
      <c r="E1" s="2" t="s">
        <v>15</v>
      </c>
      <c r="F1" s="2" t="s">
        <v>111</v>
      </c>
      <c r="G1" s="2" t="s">
        <v>188</v>
      </c>
      <c r="H1" s="2" t="s">
        <v>303</v>
      </c>
      <c r="I1" s="2" t="s">
        <v>168</v>
      </c>
    </row>
    <row r="2" customFormat="false" ht="15" hidden="false" customHeight="false" outlineLevel="0" collapsed="false">
      <c r="A2" s="18" t="s">
        <v>11</v>
      </c>
      <c r="B2" s="19" t="s">
        <v>12</v>
      </c>
      <c r="C2" s="20" t="s">
        <v>1666</v>
      </c>
      <c r="D2" s="18" t="n">
        <f aca="false">COUNTIF('변수 정의서'!$D$2:$D$529,$B$2)</f>
        <v>48</v>
      </c>
      <c r="E2" s="18" t="n">
        <f aca="false">COUNTIFS('변수 정의서'!$D$2:$D$529,$B$2,'변수 정의서'!$G$2:$G$529,"변수")</f>
        <v>40</v>
      </c>
      <c r="F2" s="18" t="n">
        <f aca="false">COUNTIFS('변수 정의서'!$D$2:$D$529,$B$2,'변수 정의서'!$G$2:$G$529,"파생")</f>
        <v>5</v>
      </c>
      <c r="G2" s="18" t="n">
        <f aca="false">COUNTIFS('변수 정의서'!$D$2:$D$529,$B$2,'변수 정의서'!$G$2:$G$529,"코드값")</f>
        <v>0</v>
      </c>
      <c r="H2" s="18" t="n">
        <f aca="false">COUNTIFS('변수 정의서'!$D$2:$D$529,$B$2,'변수 정의서'!$G$2:$G$529,"참조")</f>
        <v>0</v>
      </c>
      <c r="I2" s="18" t="n">
        <f aca="false">COUNTIFS('변수 정의서'!$D$2:$D$529,$B$2,'변수 정의서'!$G$2:$G$529,"준거")</f>
        <v>3</v>
      </c>
    </row>
    <row r="3" customFormat="false" ht="15" hidden="false" customHeight="false" outlineLevel="0" collapsed="false">
      <c r="A3" s="18" t="s">
        <v>184</v>
      </c>
      <c r="B3" s="19" t="s">
        <v>1667</v>
      </c>
      <c r="C3" s="20" t="s">
        <v>1666</v>
      </c>
      <c r="D3" s="18" t="n">
        <f aca="false">COUNTIF('변수 정의서'!$D$2:$D$529,$B$3)</f>
        <v>48</v>
      </c>
      <c r="E3" s="18" t="n">
        <f aca="false">COUNTIFS('변수 정의서'!$D$2:$D$529,$B$3,'변수 정의서'!$G$2:$G$529,"변수")</f>
        <v>11</v>
      </c>
      <c r="F3" s="18" t="n">
        <f aca="false">COUNTIFS('변수 정의서'!$D$2:$D$529,$B$3,'변수 정의서'!$G$2:$G$529,"파생")</f>
        <v>4</v>
      </c>
      <c r="G3" s="18" t="n">
        <f aca="false">COUNTIFS('변수 정의서'!$D$2:$D$529,$B$3,'변수 정의서'!$G$2:$G$529,"코드값")</f>
        <v>25</v>
      </c>
      <c r="H3" s="18" t="n">
        <f aca="false">COUNTIFS('변수 정의서'!$D$2:$D$529,$B$3,'변수 정의서'!$G$2:$G$529,"참조")</f>
        <v>4</v>
      </c>
      <c r="I3" s="18" t="n">
        <f aca="false">COUNTIFS('변수 정의서'!$D$2:$D$529,$B$3,'변수 정의서'!$G$2:$G$529,"준거")</f>
        <v>4</v>
      </c>
    </row>
    <row r="4" customFormat="false" ht="15" hidden="false" customHeight="false" outlineLevel="0" collapsed="false">
      <c r="A4" s="18" t="s">
        <v>339</v>
      </c>
      <c r="B4" s="19" t="s">
        <v>1668</v>
      </c>
      <c r="C4" s="20" t="s">
        <v>1666</v>
      </c>
      <c r="D4" s="18" t="n">
        <f aca="false">COUNTIF('변수 정의서'!$D$2:$D$529,$B$4)</f>
        <v>48</v>
      </c>
      <c r="E4" s="18" t="n">
        <f aca="false">COUNTIFS('변수 정의서'!$D$2:$D$529,$B$4,'변수 정의서'!$G$2:$G$529,"변수")</f>
        <v>33</v>
      </c>
      <c r="F4" s="18" t="n">
        <f aca="false">COUNTIFS('변수 정의서'!$D$2:$D$529,$B$4,'변수 정의서'!$G$2:$G$529,"파생")</f>
        <v>13</v>
      </c>
      <c r="G4" s="18" t="n">
        <f aca="false">COUNTIFS('변수 정의서'!$D$2:$D$529,$B$4,'변수 정의서'!$G$2:$G$529,"코드값")</f>
        <v>0</v>
      </c>
      <c r="H4" s="18" t="n">
        <f aca="false">COUNTIFS('변수 정의서'!$D$2:$D$529,$B$4,'변수 정의서'!$G$2:$G$529,"참조")</f>
        <v>1</v>
      </c>
      <c r="I4" s="18" t="n">
        <f aca="false">COUNTIFS('변수 정의서'!$D$2:$D$529,$B$4,'변수 정의서'!$G$2:$G$529,"준거")</f>
        <v>1</v>
      </c>
    </row>
    <row r="5" customFormat="false" ht="15" hidden="false" customHeight="false" outlineLevel="0" collapsed="false">
      <c r="A5" s="18" t="s">
        <v>495</v>
      </c>
      <c r="B5" s="19" t="s">
        <v>1669</v>
      </c>
      <c r="C5" s="20" t="s">
        <v>1666</v>
      </c>
      <c r="D5" s="18" t="n">
        <f aca="false">COUNTIF('변수 정의서'!$D$2:$D$529,$B$5)</f>
        <v>48</v>
      </c>
      <c r="E5" s="18" t="n">
        <f aca="false">COUNTIFS('변수 정의서'!$D$2:$D$529,$B$5,'변수 정의서'!$G$2:$G$529,"변수")</f>
        <v>40</v>
      </c>
      <c r="F5" s="18" t="n">
        <f aca="false">COUNTIFS('변수 정의서'!$D$2:$D$529,$B$5,'변수 정의서'!$G$2:$G$529,"파생")</f>
        <v>7</v>
      </c>
      <c r="G5" s="18" t="n">
        <f aca="false">COUNTIFS('변수 정의서'!$D$2:$D$529,$B$5,'변수 정의서'!$G$2:$G$529,"코드값")</f>
        <v>0</v>
      </c>
      <c r="H5" s="18" t="n">
        <f aca="false">COUNTIFS('변수 정의서'!$D$2:$D$529,$B$5,'변수 정의서'!$G$2:$G$529,"참조")</f>
        <v>0</v>
      </c>
      <c r="I5" s="18" t="n">
        <f aca="false">COUNTIFS('변수 정의서'!$D$2:$D$529,$B$5,'변수 정의서'!$G$2:$G$529,"준거")</f>
        <v>1</v>
      </c>
    </row>
    <row r="6" customFormat="false" ht="15" hidden="false" customHeight="false" outlineLevel="0" collapsed="false">
      <c r="A6" s="18" t="s">
        <v>644</v>
      </c>
      <c r="B6" s="19" t="s">
        <v>1670</v>
      </c>
      <c r="C6" s="20" t="s">
        <v>1666</v>
      </c>
      <c r="D6" s="18" t="n">
        <f aca="false">COUNTIF('변수 정의서'!$D$2:$D$529,$B$6)</f>
        <v>48</v>
      </c>
      <c r="E6" s="18" t="n">
        <f aca="false">COUNTIFS('변수 정의서'!$D$2:$D$529,$B$6,'변수 정의서'!$G$2:$G$529,"변수")</f>
        <v>42</v>
      </c>
      <c r="F6" s="18" t="n">
        <f aca="false">COUNTIFS('변수 정의서'!$D$2:$D$529,$B$6,'변수 정의서'!$G$2:$G$529,"파생")</f>
        <v>3</v>
      </c>
      <c r="G6" s="18" t="n">
        <f aca="false">COUNTIFS('변수 정의서'!$D$2:$D$529,$B$6,'변수 정의서'!$G$2:$G$529,"코드값")</f>
        <v>0</v>
      </c>
      <c r="H6" s="18" t="n">
        <f aca="false">COUNTIFS('변수 정의서'!$D$2:$D$529,$B$6,'변수 정의서'!$G$2:$G$529,"참조")</f>
        <v>1</v>
      </c>
      <c r="I6" s="18" t="n">
        <f aca="false">COUNTIFS('변수 정의서'!$D$2:$D$529,$B$6,'변수 정의서'!$G$2:$G$529,"준거")</f>
        <v>2</v>
      </c>
    </row>
    <row r="7" customFormat="false" ht="15" hidden="false" customHeight="false" outlineLevel="0" collapsed="false">
      <c r="A7" s="18" t="s">
        <v>797</v>
      </c>
      <c r="B7" s="19" t="s">
        <v>1671</v>
      </c>
      <c r="C7" s="20" t="s">
        <v>1666</v>
      </c>
      <c r="D7" s="18" t="n">
        <f aca="false">COUNTIF('변수 정의서'!$D$2:$D$529,$B$7)</f>
        <v>48</v>
      </c>
      <c r="E7" s="18" t="n">
        <f aca="false">COUNTIFS('변수 정의서'!$D$2:$D$529,$B$7,'변수 정의서'!$G$2:$G$529,"변수")</f>
        <v>18</v>
      </c>
      <c r="F7" s="18" t="n">
        <f aca="false">COUNTIFS('변수 정의서'!$D$2:$D$529,$B$7,'변수 정의서'!$G$2:$G$529,"파생")</f>
        <v>12</v>
      </c>
      <c r="G7" s="18" t="n">
        <f aca="false">COUNTIFS('변수 정의서'!$D$2:$D$529,$B$7,'변수 정의서'!$G$2:$G$529,"코드값")</f>
        <v>0</v>
      </c>
      <c r="H7" s="18" t="n">
        <f aca="false">COUNTIFS('변수 정의서'!$D$2:$D$529,$B$7,'변수 정의서'!$G$2:$G$529,"참조")</f>
        <v>5</v>
      </c>
      <c r="I7" s="18" t="n">
        <f aca="false">COUNTIFS('변수 정의서'!$D$2:$D$529,$B$7,'변수 정의서'!$G$2:$G$529,"준거")</f>
        <v>13</v>
      </c>
    </row>
    <row r="8" customFormat="false" ht="15" hidden="false" customHeight="false" outlineLevel="0" collapsed="false">
      <c r="A8" s="18" t="s">
        <v>936</v>
      </c>
      <c r="B8" s="19" t="s">
        <v>1672</v>
      </c>
      <c r="C8" s="20" t="s">
        <v>1666</v>
      </c>
      <c r="D8" s="18" t="n">
        <f aca="false">COUNTIF('변수 정의서'!$D$2:$D$529,$B$8)</f>
        <v>48</v>
      </c>
      <c r="E8" s="18" t="n">
        <f aca="false">COUNTIFS('변수 정의서'!$D$2:$D$529,$B$8,'변수 정의서'!$G$2:$G$529,"변수")</f>
        <v>20</v>
      </c>
      <c r="F8" s="18" t="n">
        <f aca="false">COUNTIFS('변수 정의서'!$D$2:$D$529,$B$8,'변수 정의서'!$G$2:$G$529,"파생")</f>
        <v>17</v>
      </c>
      <c r="G8" s="18" t="n">
        <f aca="false">COUNTIFS('변수 정의서'!$D$2:$D$529,$B$8,'변수 정의서'!$G$2:$G$529,"코드값")</f>
        <v>0</v>
      </c>
      <c r="H8" s="18" t="n">
        <f aca="false">COUNTIFS('변수 정의서'!$D$2:$D$529,$B$8,'변수 정의서'!$G$2:$G$529,"참조")</f>
        <v>3</v>
      </c>
      <c r="I8" s="18" t="n">
        <f aca="false">COUNTIFS('변수 정의서'!$D$2:$D$529,$B$8,'변수 정의서'!$G$2:$G$529,"준거")</f>
        <v>8</v>
      </c>
    </row>
    <row r="9" customFormat="false" ht="15" hidden="false" customHeight="false" outlineLevel="0" collapsed="false">
      <c r="A9" s="18" t="s">
        <v>1084</v>
      </c>
      <c r="B9" s="19" t="s">
        <v>1085</v>
      </c>
      <c r="C9" s="20" t="s">
        <v>1666</v>
      </c>
      <c r="D9" s="18" t="n">
        <f aca="false">COUNTIF('변수 정의서'!$D$2:$D$529,$B$9)</f>
        <v>48</v>
      </c>
      <c r="E9" s="18" t="n">
        <f aca="false">COUNTIFS('변수 정의서'!$D$2:$D$529,$B$9,'변수 정의서'!$G$2:$G$529,"변수")</f>
        <v>35</v>
      </c>
      <c r="F9" s="18" t="n">
        <f aca="false">COUNTIFS('변수 정의서'!$D$2:$D$529,$B$9,'변수 정의서'!$G$2:$G$529,"파생")</f>
        <v>7</v>
      </c>
      <c r="G9" s="18" t="n">
        <f aca="false">COUNTIFS('변수 정의서'!$D$2:$D$529,$B$9,'변수 정의서'!$G$2:$G$529,"코드값")</f>
        <v>0</v>
      </c>
      <c r="H9" s="18" t="n">
        <f aca="false">COUNTIFS('변수 정의서'!$D$2:$D$529,$B$9,'변수 정의서'!$G$2:$G$529,"참조")</f>
        <v>0</v>
      </c>
      <c r="I9" s="18" t="n">
        <f aca="false">COUNTIFS('변수 정의서'!$D$2:$D$529,$B$9,'변수 정의서'!$G$2:$G$529,"준거")</f>
        <v>6</v>
      </c>
    </row>
    <row r="10" customFormat="false" ht="15" hidden="false" customHeight="false" outlineLevel="0" collapsed="false">
      <c r="A10" s="18" t="s">
        <v>1231</v>
      </c>
      <c r="B10" s="19" t="s">
        <v>1673</v>
      </c>
      <c r="C10" s="20" t="s">
        <v>1666</v>
      </c>
      <c r="D10" s="18" t="n">
        <f aca="false">COUNTIF('변수 정의서'!$D$2:$D$529,$B$10)</f>
        <v>48</v>
      </c>
      <c r="E10" s="18" t="n">
        <f aca="false">COUNTIFS('변수 정의서'!$D$2:$D$529,$B$10,'변수 정의서'!$G$2:$G$529,"변수")</f>
        <v>29</v>
      </c>
      <c r="F10" s="18" t="n">
        <f aca="false">COUNTIFS('변수 정의서'!$D$2:$D$529,$B$10,'변수 정의서'!$G$2:$G$529,"파생")</f>
        <v>17</v>
      </c>
      <c r="G10" s="18" t="n">
        <f aca="false">COUNTIFS('변수 정의서'!$D$2:$D$529,$B$10,'변수 정의서'!$G$2:$G$529,"코드값")</f>
        <v>0</v>
      </c>
      <c r="H10" s="18" t="n">
        <f aca="false">COUNTIFS('변수 정의서'!$D$2:$D$529,$B$10,'변수 정의서'!$G$2:$G$529,"참조")</f>
        <v>1</v>
      </c>
      <c r="I10" s="18" t="n">
        <f aca="false">COUNTIFS('변수 정의서'!$D$2:$D$529,$B$10,'변수 정의서'!$G$2:$G$529,"준거")</f>
        <v>1</v>
      </c>
    </row>
    <row r="11" customFormat="false" ht="15" hidden="false" customHeight="false" outlineLevel="0" collapsed="false">
      <c r="A11" s="18" t="s">
        <v>1377</v>
      </c>
      <c r="B11" s="19" t="s">
        <v>1674</v>
      </c>
      <c r="C11" s="20" t="s">
        <v>1675</v>
      </c>
      <c r="D11" s="18" t="n">
        <f aca="false">COUNTIF('변수 정의서'!$D$2:$D$529,$B$11)</f>
        <v>48</v>
      </c>
      <c r="E11" s="18" t="n">
        <f aca="false">COUNTIFS('변수 정의서'!$D$2:$D$529,$B$11,'변수 정의서'!$G$2:$G$529,"변수")</f>
        <v>3</v>
      </c>
      <c r="F11" s="18" t="n">
        <f aca="false">COUNTIFS('변수 정의서'!$D$2:$D$529,$B$11,'변수 정의서'!$G$2:$G$529,"파생")</f>
        <v>13</v>
      </c>
      <c r="G11" s="18" t="n">
        <f aca="false">COUNTIFS('변수 정의서'!$D$2:$D$529,$B$11,'변수 정의서'!$G$2:$G$529,"코드값")</f>
        <v>0</v>
      </c>
      <c r="H11" s="18" t="n">
        <f aca="false">COUNTIFS('변수 정의서'!$D$2:$D$529,$B$11,'변수 정의서'!$G$2:$G$529,"참조")</f>
        <v>23</v>
      </c>
      <c r="I11" s="18" t="n">
        <f aca="false">COUNTIFS('변수 정의서'!$D$2:$D$529,$B$11,'변수 정의서'!$G$2:$G$529,"준거")</f>
        <v>9</v>
      </c>
    </row>
    <row r="12" customFormat="false" ht="15" hidden="false" customHeight="false" outlineLevel="0" collapsed="false">
      <c r="A12" s="18" t="s">
        <v>1522</v>
      </c>
      <c r="B12" s="19" t="s">
        <v>1676</v>
      </c>
      <c r="C12" s="20" t="s">
        <v>1675</v>
      </c>
      <c r="D12" s="18" t="n">
        <f aca="false">COUNTIF('변수 정의서'!$D$2:$D$529,$B$12)</f>
        <v>48</v>
      </c>
      <c r="E12" s="18" t="n">
        <f aca="false">COUNTIFS('변수 정의서'!$D$2:$D$529,$B$12,'변수 정의서'!$G$2:$G$529,"변수")</f>
        <v>23</v>
      </c>
      <c r="F12" s="18" t="n">
        <f aca="false">COUNTIFS('변수 정의서'!$D$2:$D$529,$B$12,'변수 정의서'!$G$2:$G$529,"파생")</f>
        <v>5</v>
      </c>
      <c r="G12" s="18" t="n">
        <f aca="false">COUNTIFS('변수 정의서'!$D$2:$D$529,$B$12,'변수 정의서'!$G$2:$G$529,"코드값")</f>
        <v>0</v>
      </c>
      <c r="H12" s="18" t="n">
        <f aca="false">COUNTIFS('변수 정의서'!$D$2:$D$529,$B$12,'변수 정의서'!$G$2:$G$529,"참조")</f>
        <v>10</v>
      </c>
      <c r="I12" s="18" t="n">
        <f aca="false">COUNTIFS('변수 정의서'!$D$2:$D$529,$B$12,'변수 정의서'!$G$2:$G$529,"준거")</f>
        <v>10</v>
      </c>
    </row>
    <row r="13" customFormat="false" ht="15" hidden="false" customHeight="false" outlineLevel="0" collapsed="false">
      <c r="A13" s="21"/>
      <c r="B13" s="22" t="s">
        <v>1677</v>
      </c>
      <c r="C13" s="22"/>
      <c r="D13" s="21" t="n">
        <f aca="false">SUM(D2:D12)</f>
        <v>528</v>
      </c>
      <c r="E13" s="21" t="n">
        <f aca="false">SUM(E2:E12)</f>
        <v>294</v>
      </c>
      <c r="F13" s="21" t="n">
        <f aca="false">SUM(F2:F12)</f>
        <v>103</v>
      </c>
      <c r="G13" s="21" t="n">
        <f aca="false">SUM(G2:G12)</f>
        <v>25</v>
      </c>
      <c r="H13" s="21" t="n">
        <f aca="false">SUM(H2:H12)</f>
        <v>48</v>
      </c>
      <c r="I13" s="21" t="n">
        <f aca="false">SUM(I2:I12)</f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58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0</v>
      </c>
      <c r="B1" s="2" t="s">
        <v>7</v>
      </c>
      <c r="C1" s="2" t="s">
        <v>8</v>
      </c>
      <c r="D1" s="2" t="s">
        <v>6</v>
      </c>
      <c r="E1" s="2" t="s">
        <v>9</v>
      </c>
      <c r="F1" s="2" t="s">
        <v>1678</v>
      </c>
      <c r="G1" s="2" t="s">
        <v>1679</v>
      </c>
    </row>
    <row r="2" customFormat="false" ht="15" hidden="false" customHeight="false" outlineLevel="0" collapsed="false">
      <c r="A2" s="3" t="n">
        <v>1</v>
      </c>
      <c r="B2" s="8" t="s">
        <v>16</v>
      </c>
      <c r="C2" s="3" t="s">
        <v>17</v>
      </c>
      <c r="D2" s="23" t="s">
        <v>15</v>
      </c>
      <c r="E2" s="5" t="s">
        <v>18</v>
      </c>
      <c r="F2" s="3" t="n">
        <v>1</v>
      </c>
      <c r="G2" s="5" t="s">
        <v>1680</v>
      </c>
    </row>
    <row r="3" customFormat="false" ht="15" hidden="false" customHeight="false" outlineLevel="0" collapsed="false">
      <c r="A3" s="3" t="n">
        <v>2</v>
      </c>
      <c r="B3" s="8" t="s">
        <v>20</v>
      </c>
      <c r="C3" s="3" t="s">
        <v>21</v>
      </c>
      <c r="D3" s="23" t="s">
        <v>15</v>
      </c>
      <c r="E3" s="5" t="s">
        <v>22</v>
      </c>
      <c r="F3" s="3" t="n">
        <v>1</v>
      </c>
      <c r="G3" s="5" t="s">
        <v>1680</v>
      </c>
    </row>
    <row r="4" customFormat="false" ht="15" hidden="false" customHeight="false" outlineLevel="0" collapsed="false">
      <c r="A4" s="3" t="n">
        <v>3</v>
      </c>
      <c r="B4" s="8" t="s">
        <v>24</v>
      </c>
      <c r="C4" s="3" t="s">
        <v>25</v>
      </c>
      <c r="D4" s="23" t="s">
        <v>15</v>
      </c>
      <c r="E4" s="5" t="s">
        <v>26</v>
      </c>
      <c r="F4" s="3" t="n">
        <v>1</v>
      </c>
      <c r="G4" s="5" t="s">
        <v>1680</v>
      </c>
    </row>
    <row r="5" customFormat="false" ht="15" hidden="false" customHeight="false" outlineLevel="0" collapsed="false">
      <c r="A5" s="3" t="n">
        <v>4</v>
      </c>
      <c r="B5" s="8" t="s">
        <v>28</v>
      </c>
      <c r="C5" s="3" t="s">
        <v>29</v>
      </c>
      <c r="D5" s="23" t="s">
        <v>15</v>
      </c>
      <c r="E5" s="10" t="s">
        <v>30</v>
      </c>
      <c r="F5" s="3" t="n">
        <v>1</v>
      </c>
      <c r="G5" s="5" t="s">
        <v>1680</v>
      </c>
    </row>
    <row r="6" customFormat="false" ht="15" hidden="false" customHeight="false" outlineLevel="0" collapsed="false">
      <c r="A6" s="3" t="n">
        <v>5</v>
      </c>
      <c r="B6" s="8" t="s">
        <v>32</v>
      </c>
      <c r="C6" s="3" t="s">
        <v>33</v>
      </c>
      <c r="D6" s="23" t="s">
        <v>15</v>
      </c>
      <c r="E6" s="10" t="s">
        <v>34</v>
      </c>
      <c r="F6" s="3" t="n">
        <v>1</v>
      </c>
      <c r="G6" s="5" t="s">
        <v>1680</v>
      </c>
    </row>
    <row r="7" customFormat="false" ht="15" hidden="false" customHeight="false" outlineLevel="0" collapsed="false">
      <c r="A7" s="3" t="n">
        <v>6</v>
      </c>
      <c r="B7" s="8" t="s">
        <v>36</v>
      </c>
      <c r="C7" s="3" t="s">
        <v>37</v>
      </c>
      <c r="D7" s="23" t="s">
        <v>15</v>
      </c>
      <c r="E7" s="5" t="s">
        <v>38</v>
      </c>
      <c r="F7" s="3" t="n">
        <v>1</v>
      </c>
      <c r="G7" s="5" t="s">
        <v>1680</v>
      </c>
    </row>
    <row r="8" customFormat="false" ht="15" hidden="false" customHeight="false" outlineLevel="0" collapsed="false">
      <c r="A8" s="3" t="n">
        <v>7</v>
      </c>
      <c r="B8" s="8" t="s">
        <v>41</v>
      </c>
      <c r="C8" s="3" t="s">
        <v>21</v>
      </c>
      <c r="D8" s="23" t="s">
        <v>15</v>
      </c>
      <c r="E8" s="10" t="s">
        <v>42</v>
      </c>
      <c r="F8" s="3" t="n">
        <v>1</v>
      </c>
      <c r="G8" s="5" t="s">
        <v>1681</v>
      </c>
    </row>
    <row r="9" customFormat="false" ht="15" hidden="false" customHeight="false" outlineLevel="0" collapsed="false">
      <c r="A9" s="3" t="n">
        <v>8</v>
      </c>
      <c r="B9" s="8" t="s">
        <v>44</v>
      </c>
      <c r="C9" s="3" t="s">
        <v>45</v>
      </c>
      <c r="D9" s="23" t="s">
        <v>15</v>
      </c>
      <c r="E9" s="10" t="s">
        <v>46</v>
      </c>
      <c r="F9" s="3" t="n">
        <v>1</v>
      </c>
      <c r="G9" s="5" t="s">
        <v>1681</v>
      </c>
    </row>
    <row r="10" customFormat="false" ht="15" hidden="false" customHeight="false" outlineLevel="0" collapsed="false">
      <c r="A10" s="3" t="n">
        <v>9</v>
      </c>
      <c r="B10" s="8" t="s">
        <v>48</v>
      </c>
      <c r="C10" s="3" t="s">
        <v>49</v>
      </c>
      <c r="D10" s="23" t="s">
        <v>15</v>
      </c>
      <c r="E10" s="5" t="s">
        <v>50</v>
      </c>
      <c r="F10" s="3" t="n">
        <v>1</v>
      </c>
      <c r="G10" s="5" t="s">
        <v>1681</v>
      </c>
    </row>
    <row r="11" customFormat="false" ht="15" hidden="false" customHeight="false" outlineLevel="0" collapsed="false">
      <c r="A11" s="3" t="n">
        <v>10</v>
      </c>
      <c r="B11" s="8" t="s">
        <v>52</v>
      </c>
      <c r="C11" s="3" t="s">
        <v>53</v>
      </c>
      <c r="D11" s="23" t="s">
        <v>15</v>
      </c>
      <c r="E11" s="5" t="s">
        <v>54</v>
      </c>
      <c r="F11" s="3" t="n">
        <v>1</v>
      </c>
      <c r="G11" s="5" t="s">
        <v>1681</v>
      </c>
    </row>
    <row r="12" customFormat="false" ht="15" hidden="false" customHeight="false" outlineLevel="0" collapsed="false">
      <c r="A12" s="3" t="n">
        <v>11</v>
      </c>
      <c r="B12" s="8" t="s">
        <v>56</v>
      </c>
      <c r="C12" s="3" t="s">
        <v>57</v>
      </c>
      <c r="D12" s="23" t="s">
        <v>15</v>
      </c>
      <c r="E12" s="10" t="s">
        <v>58</v>
      </c>
      <c r="F12" s="3" t="n">
        <v>1</v>
      </c>
      <c r="G12" s="5" t="s">
        <v>1681</v>
      </c>
    </row>
    <row r="13" customFormat="false" ht="15" hidden="false" customHeight="false" outlineLevel="0" collapsed="false">
      <c r="A13" s="3" t="n">
        <v>12</v>
      </c>
      <c r="B13" s="8" t="s">
        <v>60</v>
      </c>
      <c r="C13" s="3" t="s">
        <v>57</v>
      </c>
      <c r="D13" s="23" t="s">
        <v>15</v>
      </c>
      <c r="E13" s="10" t="s">
        <v>61</v>
      </c>
      <c r="F13" s="3" t="n">
        <v>1</v>
      </c>
      <c r="G13" s="5" t="s">
        <v>1681</v>
      </c>
    </row>
    <row r="14" customFormat="false" ht="15" hidden="false" customHeight="false" outlineLevel="0" collapsed="false">
      <c r="A14" s="3" t="n">
        <v>13</v>
      </c>
      <c r="B14" s="8" t="s">
        <v>64</v>
      </c>
      <c r="C14" s="3" t="s">
        <v>65</v>
      </c>
      <c r="D14" s="23" t="s">
        <v>15</v>
      </c>
      <c r="E14" s="5" t="s">
        <v>66</v>
      </c>
      <c r="F14" s="3" t="n">
        <v>1</v>
      </c>
      <c r="G14" s="5" t="s">
        <v>1682</v>
      </c>
    </row>
    <row r="15" customFormat="false" ht="15" hidden="false" customHeight="false" outlineLevel="0" collapsed="false">
      <c r="A15" s="3" t="n">
        <v>14</v>
      </c>
      <c r="B15" s="8" t="s">
        <v>68</v>
      </c>
      <c r="C15" s="3" t="s">
        <v>29</v>
      </c>
      <c r="D15" s="23" t="s">
        <v>15</v>
      </c>
      <c r="E15" s="10" t="s">
        <v>69</v>
      </c>
      <c r="F15" s="3" t="n">
        <v>1</v>
      </c>
      <c r="G15" s="5" t="s">
        <v>1682</v>
      </c>
    </row>
    <row r="16" customFormat="false" ht="15" hidden="false" customHeight="false" outlineLevel="0" collapsed="false">
      <c r="A16" s="3" t="n">
        <v>15</v>
      </c>
      <c r="B16" s="8" t="s">
        <v>71</v>
      </c>
      <c r="C16" s="3" t="s">
        <v>72</v>
      </c>
      <c r="D16" s="23" t="s">
        <v>15</v>
      </c>
      <c r="E16" s="5" t="s">
        <v>73</v>
      </c>
      <c r="F16" s="3" t="n">
        <v>1</v>
      </c>
      <c r="G16" s="5" t="s">
        <v>1682</v>
      </c>
    </row>
    <row r="17" customFormat="false" ht="15" hidden="false" customHeight="false" outlineLevel="0" collapsed="false">
      <c r="A17" s="3" t="n">
        <v>16</v>
      </c>
      <c r="B17" s="8" t="s">
        <v>75</v>
      </c>
      <c r="C17" s="3" t="s">
        <v>76</v>
      </c>
      <c r="D17" s="23" t="s">
        <v>15</v>
      </c>
      <c r="E17" s="5" t="s">
        <v>77</v>
      </c>
      <c r="F17" s="3" t="n">
        <v>1</v>
      </c>
      <c r="G17" s="5" t="s">
        <v>1682</v>
      </c>
    </row>
    <row r="18" customFormat="false" ht="15" hidden="false" customHeight="false" outlineLevel="0" collapsed="false">
      <c r="A18" s="3" t="n">
        <v>17</v>
      </c>
      <c r="B18" s="8" t="s">
        <v>79</v>
      </c>
      <c r="C18" s="3" t="s">
        <v>80</v>
      </c>
      <c r="D18" s="23" t="s">
        <v>15</v>
      </c>
      <c r="E18" s="5" t="s">
        <v>81</v>
      </c>
      <c r="F18" s="3" t="n">
        <v>1</v>
      </c>
      <c r="G18" s="5" t="s">
        <v>1682</v>
      </c>
    </row>
    <row r="19" customFormat="false" ht="15" hidden="false" customHeight="false" outlineLevel="0" collapsed="false">
      <c r="A19" s="3" t="n">
        <v>18</v>
      </c>
      <c r="B19" s="8" t="s">
        <v>83</v>
      </c>
      <c r="C19" s="3" t="s">
        <v>21</v>
      </c>
      <c r="D19" s="23" t="s">
        <v>15</v>
      </c>
      <c r="E19" s="5" t="s">
        <v>84</v>
      </c>
      <c r="F19" s="3" t="n">
        <v>1</v>
      </c>
      <c r="G19" s="5" t="s">
        <v>1682</v>
      </c>
    </row>
    <row r="20" customFormat="false" ht="15" hidden="false" customHeight="false" outlineLevel="0" collapsed="false">
      <c r="A20" s="3" t="n">
        <v>19</v>
      </c>
      <c r="B20" s="8" t="s">
        <v>87</v>
      </c>
      <c r="C20" s="3" t="s">
        <v>88</v>
      </c>
      <c r="D20" s="23" t="s">
        <v>15</v>
      </c>
      <c r="E20" s="5" t="s">
        <v>89</v>
      </c>
      <c r="F20" s="3" t="n">
        <v>1</v>
      </c>
      <c r="G20" s="5" t="s">
        <v>1683</v>
      </c>
    </row>
    <row r="21" customFormat="false" ht="15" hidden="false" customHeight="false" outlineLevel="0" collapsed="false">
      <c r="A21" s="3" t="n">
        <v>20</v>
      </c>
      <c r="B21" s="8" t="s">
        <v>91</v>
      </c>
      <c r="C21" s="3" t="s">
        <v>57</v>
      </c>
      <c r="D21" s="23" t="s">
        <v>15</v>
      </c>
      <c r="E21" s="10" t="s">
        <v>92</v>
      </c>
      <c r="F21" s="3" t="n">
        <v>1</v>
      </c>
      <c r="G21" s="5" t="s">
        <v>1683</v>
      </c>
    </row>
    <row r="22" customFormat="false" ht="15" hidden="false" customHeight="false" outlineLevel="0" collapsed="false">
      <c r="A22" s="3" t="n">
        <v>21</v>
      </c>
      <c r="B22" s="8" t="s">
        <v>94</v>
      </c>
      <c r="C22" s="3" t="s">
        <v>57</v>
      </c>
      <c r="D22" s="23" t="s">
        <v>15</v>
      </c>
      <c r="E22" s="10" t="s">
        <v>95</v>
      </c>
      <c r="F22" s="3" t="n">
        <v>1</v>
      </c>
      <c r="G22" s="5" t="s">
        <v>1683</v>
      </c>
    </row>
    <row r="23" customFormat="false" ht="15" hidden="false" customHeight="false" outlineLevel="0" collapsed="false">
      <c r="A23" s="3" t="n">
        <v>22</v>
      </c>
      <c r="B23" s="8" t="s">
        <v>97</v>
      </c>
      <c r="C23" s="3" t="s">
        <v>57</v>
      </c>
      <c r="D23" s="23" t="s">
        <v>15</v>
      </c>
      <c r="E23" s="10" t="s">
        <v>98</v>
      </c>
      <c r="F23" s="3" t="n">
        <v>1</v>
      </c>
      <c r="G23" s="5" t="s">
        <v>1683</v>
      </c>
    </row>
    <row r="24" customFormat="false" ht="15" hidden="false" customHeight="false" outlineLevel="0" collapsed="false">
      <c r="A24" s="3" t="n">
        <v>23</v>
      </c>
      <c r="B24" s="8" t="s">
        <v>100</v>
      </c>
      <c r="C24" s="3" t="s">
        <v>45</v>
      </c>
      <c r="D24" s="23" t="s">
        <v>15</v>
      </c>
      <c r="E24" s="10" t="s">
        <v>101</v>
      </c>
      <c r="F24" s="3" t="n">
        <v>1</v>
      </c>
      <c r="G24" s="5" t="s">
        <v>1683</v>
      </c>
    </row>
    <row r="25" customFormat="false" ht="15" hidden="false" customHeight="false" outlineLevel="0" collapsed="false">
      <c r="A25" s="3" t="n">
        <v>24</v>
      </c>
      <c r="B25" s="8" t="s">
        <v>103</v>
      </c>
      <c r="C25" s="3" t="s">
        <v>57</v>
      </c>
      <c r="D25" s="23" t="s">
        <v>15</v>
      </c>
      <c r="E25" s="10" t="s">
        <v>104</v>
      </c>
      <c r="F25" s="3" t="n">
        <v>1</v>
      </c>
      <c r="G25" s="5" t="s">
        <v>1683</v>
      </c>
    </row>
    <row r="26" customFormat="false" ht="15" hidden="false" customHeight="false" outlineLevel="0" collapsed="false">
      <c r="A26" s="3" t="n">
        <v>25</v>
      </c>
      <c r="B26" s="8" t="s">
        <v>107</v>
      </c>
      <c r="C26" s="3" t="s">
        <v>108</v>
      </c>
      <c r="D26" s="23" t="s">
        <v>15</v>
      </c>
      <c r="E26" s="5" t="s">
        <v>109</v>
      </c>
      <c r="F26" s="3" t="n">
        <v>1</v>
      </c>
      <c r="G26" s="5" t="s">
        <v>1684</v>
      </c>
    </row>
    <row r="27" customFormat="false" ht="15" hidden="false" customHeight="false" outlineLevel="0" collapsed="false">
      <c r="A27" s="3" t="n">
        <v>26</v>
      </c>
      <c r="B27" s="8" t="s">
        <v>112</v>
      </c>
      <c r="C27" s="3" t="s">
        <v>80</v>
      </c>
      <c r="D27" s="23" t="s">
        <v>111</v>
      </c>
      <c r="E27" s="5" t="s">
        <v>113</v>
      </c>
      <c r="F27" s="3" t="n">
        <v>1</v>
      </c>
      <c r="G27" s="5" t="s">
        <v>1684</v>
      </c>
    </row>
    <row r="28" customFormat="false" ht="15" hidden="false" customHeight="false" outlineLevel="0" collapsed="false">
      <c r="A28" s="3" t="n">
        <v>27</v>
      </c>
      <c r="B28" s="8" t="s">
        <v>115</v>
      </c>
      <c r="C28" s="3" t="s">
        <v>65</v>
      </c>
      <c r="D28" s="23" t="s">
        <v>15</v>
      </c>
      <c r="E28" s="10" t="s">
        <v>116</v>
      </c>
      <c r="F28" s="3" t="n">
        <v>1</v>
      </c>
      <c r="G28" s="5" t="s">
        <v>1684</v>
      </c>
    </row>
    <row r="29" customFormat="false" ht="15" hidden="false" customHeight="false" outlineLevel="0" collapsed="false">
      <c r="A29" s="3" t="n">
        <v>28</v>
      </c>
      <c r="B29" s="8" t="s">
        <v>118</v>
      </c>
      <c r="C29" s="3" t="s">
        <v>80</v>
      </c>
      <c r="D29" s="23" t="s">
        <v>15</v>
      </c>
      <c r="E29" s="5" t="s">
        <v>119</v>
      </c>
      <c r="F29" s="3" t="n">
        <v>1</v>
      </c>
      <c r="G29" s="5" t="s">
        <v>1684</v>
      </c>
    </row>
    <row r="30" customFormat="false" ht="15" hidden="false" customHeight="false" outlineLevel="0" collapsed="false">
      <c r="A30" s="3" t="n">
        <v>29</v>
      </c>
      <c r="B30" s="8" t="s">
        <v>121</v>
      </c>
      <c r="C30" s="3" t="s">
        <v>21</v>
      </c>
      <c r="D30" s="23" t="s">
        <v>15</v>
      </c>
      <c r="E30" s="5" t="s">
        <v>122</v>
      </c>
      <c r="F30" s="3" t="n">
        <v>1</v>
      </c>
      <c r="G30" s="5" t="s">
        <v>1684</v>
      </c>
    </row>
    <row r="31" customFormat="false" ht="15" hidden="false" customHeight="false" outlineLevel="0" collapsed="false">
      <c r="A31" s="3" t="n">
        <v>30</v>
      </c>
      <c r="B31" s="8" t="s">
        <v>124</v>
      </c>
      <c r="C31" s="3" t="s">
        <v>125</v>
      </c>
      <c r="D31" s="23" t="s">
        <v>15</v>
      </c>
      <c r="E31" s="5" t="s">
        <v>126</v>
      </c>
      <c r="F31" s="3" t="n">
        <v>1</v>
      </c>
      <c r="G31" s="5" t="s">
        <v>1684</v>
      </c>
    </row>
    <row r="32" customFormat="false" ht="15" hidden="false" customHeight="false" outlineLevel="0" collapsed="false">
      <c r="A32" s="3" t="n">
        <v>31</v>
      </c>
      <c r="B32" s="8" t="s">
        <v>129</v>
      </c>
      <c r="C32" s="3" t="s">
        <v>17</v>
      </c>
      <c r="D32" s="23" t="s">
        <v>15</v>
      </c>
      <c r="E32" s="5" t="s">
        <v>130</v>
      </c>
      <c r="F32" s="3" t="n">
        <v>1</v>
      </c>
      <c r="G32" s="5" t="s">
        <v>1685</v>
      </c>
    </row>
    <row r="33" customFormat="false" ht="15" hidden="false" customHeight="false" outlineLevel="0" collapsed="false">
      <c r="A33" s="3" t="n">
        <v>32</v>
      </c>
      <c r="B33" s="8" t="s">
        <v>132</v>
      </c>
      <c r="C33" s="3" t="s">
        <v>33</v>
      </c>
      <c r="D33" s="23" t="s">
        <v>15</v>
      </c>
      <c r="E33" s="10" t="s">
        <v>133</v>
      </c>
      <c r="F33" s="3" t="n">
        <v>1</v>
      </c>
      <c r="G33" s="5" t="s">
        <v>1685</v>
      </c>
    </row>
    <row r="34" customFormat="false" ht="15" hidden="false" customHeight="false" outlineLevel="0" collapsed="false">
      <c r="A34" s="3" t="n">
        <v>33</v>
      </c>
      <c r="B34" s="8" t="s">
        <v>135</v>
      </c>
      <c r="C34" s="3" t="s">
        <v>17</v>
      </c>
      <c r="D34" s="23" t="s">
        <v>15</v>
      </c>
      <c r="E34" s="5" t="s">
        <v>136</v>
      </c>
      <c r="F34" s="3" t="n">
        <v>1</v>
      </c>
      <c r="G34" s="5" t="s">
        <v>1685</v>
      </c>
    </row>
    <row r="35" customFormat="false" ht="15" hidden="false" customHeight="false" outlineLevel="0" collapsed="false">
      <c r="A35" s="3" t="n">
        <v>34</v>
      </c>
      <c r="B35" s="8" t="s">
        <v>138</v>
      </c>
      <c r="C35" s="3" t="s">
        <v>17</v>
      </c>
      <c r="D35" s="23" t="s">
        <v>15</v>
      </c>
      <c r="E35" s="5" t="s">
        <v>139</v>
      </c>
      <c r="F35" s="3" t="n">
        <v>1</v>
      </c>
      <c r="G35" s="5" t="s">
        <v>1685</v>
      </c>
    </row>
    <row r="36" customFormat="false" ht="15" hidden="false" customHeight="false" outlineLevel="0" collapsed="false">
      <c r="A36" s="3" t="n">
        <v>35</v>
      </c>
      <c r="B36" s="8" t="s">
        <v>141</v>
      </c>
      <c r="C36" s="3" t="s">
        <v>142</v>
      </c>
      <c r="D36" s="23" t="s">
        <v>15</v>
      </c>
      <c r="E36" s="10" t="s">
        <v>143</v>
      </c>
      <c r="F36" s="3" t="n">
        <v>1</v>
      </c>
      <c r="G36" s="5" t="s">
        <v>1685</v>
      </c>
    </row>
    <row r="37" customFormat="false" ht="15" hidden="false" customHeight="false" outlineLevel="0" collapsed="false">
      <c r="A37" s="3" t="n">
        <v>36</v>
      </c>
      <c r="B37" s="8" t="s">
        <v>145</v>
      </c>
      <c r="C37" s="3" t="s">
        <v>45</v>
      </c>
      <c r="D37" s="23" t="s">
        <v>15</v>
      </c>
      <c r="E37" s="10" t="s">
        <v>146</v>
      </c>
      <c r="F37" s="3" t="n">
        <v>1</v>
      </c>
      <c r="G37" s="5" t="s">
        <v>1685</v>
      </c>
    </row>
    <row r="38" customFormat="false" ht="15" hidden="false" customHeight="false" outlineLevel="0" collapsed="false">
      <c r="A38" s="3" t="n">
        <v>37</v>
      </c>
      <c r="B38" s="8" t="s">
        <v>149</v>
      </c>
      <c r="C38" s="3" t="s">
        <v>125</v>
      </c>
      <c r="D38" s="23" t="s">
        <v>15</v>
      </c>
      <c r="E38" s="5" t="s">
        <v>150</v>
      </c>
      <c r="F38" s="3" t="n">
        <v>1</v>
      </c>
      <c r="G38" s="5" t="s">
        <v>1686</v>
      </c>
    </row>
    <row r="39" customFormat="false" ht="15" hidden="false" customHeight="false" outlineLevel="0" collapsed="false">
      <c r="A39" s="3" t="n">
        <v>38</v>
      </c>
      <c r="B39" s="8" t="s">
        <v>152</v>
      </c>
      <c r="C39" s="3" t="s">
        <v>53</v>
      </c>
      <c r="D39" s="23" t="s">
        <v>111</v>
      </c>
      <c r="E39" s="5" t="s">
        <v>153</v>
      </c>
      <c r="F39" s="3" t="n">
        <v>1</v>
      </c>
      <c r="G39" s="5" t="s">
        <v>1686</v>
      </c>
    </row>
    <row r="40" customFormat="false" ht="15" hidden="false" customHeight="false" outlineLevel="0" collapsed="false">
      <c r="A40" s="3" t="n">
        <v>39</v>
      </c>
      <c r="B40" s="8" t="s">
        <v>155</v>
      </c>
      <c r="C40" s="3" t="s">
        <v>21</v>
      </c>
      <c r="D40" s="23" t="s">
        <v>111</v>
      </c>
      <c r="E40" s="5" t="s">
        <v>156</v>
      </c>
      <c r="F40" s="3" t="n">
        <v>1</v>
      </c>
      <c r="G40" s="5" t="s">
        <v>1686</v>
      </c>
    </row>
    <row r="41" customFormat="false" ht="15" hidden="false" customHeight="false" outlineLevel="0" collapsed="false">
      <c r="A41" s="3" t="n">
        <v>40</v>
      </c>
      <c r="B41" s="8" t="s">
        <v>158</v>
      </c>
      <c r="C41" s="3" t="s">
        <v>53</v>
      </c>
      <c r="D41" s="23" t="s">
        <v>111</v>
      </c>
      <c r="E41" s="5" t="s">
        <v>159</v>
      </c>
      <c r="F41" s="3" t="n">
        <v>1</v>
      </c>
      <c r="G41" s="5" t="s">
        <v>1686</v>
      </c>
    </row>
    <row r="42" customFormat="false" ht="15" hidden="false" customHeight="false" outlineLevel="0" collapsed="false">
      <c r="A42" s="3" t="n">
        <v>41</v>
      </c>
      <c r="B42" s="8" t="s">
        <v>161</v>
      </c>
      <c r="C42" s="3" t="s">
        <v>53</v>
      </c>
      <c r="D42" s="23" t="s">
        <v>111</v>
      </c>
      <c r="E42" s="5" t="s">
        <v>162</v>
      </c>
      <c r="F42" s="3" t="n">
        <v>1</v>
      </c>
      <c r="G42" s="5" t="s">
        <v>1686</v>
      </c>
    </row>
    <row r="43" customFormat="false" ht="15" hidden="false" customHeight="false" outlineLevel="0" collapsed="false">
      <c r="A43" s="3" t="n">
        <v>42</v>
      </c>
      <c r="B43" s="8" t="s">
        <v>164</v>
      </c>
      <c r="C43" s="3" t="s">
        <v>17</v>
      </c>
      <c r="D43" s="23" t="s">
        <v>15</v>
      </c>
      <c r="E43" s="5" t="s">
        <v>165</v>
      </c>
      <c r="F43" s="3" t="n">
        <v>1</v>
      </c>
      <c r="G43" s="5" t="s">
        <v>1686</v>
      </c>
    </row>
    <row r="44" customFormat="false" ht="15" hidden="false" customHeight="false" outlineLevel="0" collapsed="false">
      <c r="A44" s="3" t="n">
        <v>43</v>
      </c>
      <c r="B44" s="8" t="s">
        <v>176</v>
      </c>
      <c r="C44" s="3" t="s">
        <v>57</v>
      </c>
      <c r="D44" s="23" t="s">
        <v>15</v>
      </c>
      <c r="E44" s="10" t="s">
        <v>177</v>
      </c>
      <c r="F44" s="3" t="n">
        <v>1</v>
      </c>
      <c r="G44" s="5" t="s">
        <v>1687</v>
      </c>
    </row>
    <row r="45" customFormat="false" ht="15" hidden="false" customHeight="false" outlineLevel="0" collapsed="false">
      <c r="A45" s="3" t="n">
        <v>44</v>
      </c>
      <c r="B45" s="8" t="s">
        <v>179</v>
      </c>
      <c r="C45" s="3" t="s">
        <v>53</v>
      </c>
      <c r="D45" s="23" t="s">
        <v>15</v>
      </c>
      <c r="E45" s="5" t="s">
        <v>180</v>
      </c>
      <c r="F45" s="3" t="n">
        <v>1</v>
      </c>
      <c r="G45" s="5" t="s">
        <v>1687</v>
      </c>
    </row>
    <row r="46" customFormat="false" ht="15" hidden="false" customHeight="false" outlineLevel="0" collapsed="false">
      <c r="A46" s="3" t="n">
        <v>45</v>
      </c>
      <c r="B46" s="8" t="s">
        <v>182</v>
      </c>
      <c r="C46" s="3" t="s">
        <v>57</v>
      </c>
      <c r="D46" s="23" t="s">
        <v>15</v>
      </c>
      <c r="E46" s="10" t="s">
        <v>183</v>
      </c>
      <c r="F46" s="3" t="n">
        <v>1</v>
      </c>
      <c r="G46" s="5" t="s">
        <v>1687</v>
      </c>
    </row>
    <row r="47" customFormat="false" ht="15" hidden="false" customHeight="false" outlineLevel="0" collapsed="false">
      <c r="A47" s="3" t="n">
        <v>46</v>
      </c>
      <c r="B47" s="8" t="s">
        <v>204</v>
      </c>
      <c r="C47" s="3" t="s">
        <v>17</v>
      </c>
      <c r="D47" s="23" t="s">
        <v>15</v>
      </c>
      <c r="E47" s="5" t="s">
        <v>205</v>
      </c>
      <c r="F47" s="3" t="n">
        <v>1</v>
      </c>
      <c r="G47" s="5" t="s">
        <v>1688</v>
      </c>
    </row>
    <row r="48" customFormat="false" ht="15" hidden="false" customHeight="false" outlineLevel="0" collapsed="false">
      <c r="A48" s="3" t="n">
        <v>47</v>
      </c>
      <c r="B48" s="8" t="s">
        <v>261</v>
      </c>
      <c r="C48" s="3" t="s">
        <v>88</v>
      </c>
      <c r="D48" s="23" t="s">
        <v>111</v>
      </c>
      <c r="E48" s="10" t="s">
        <v>262</v>
      </c>
      <c r="F48" s="3" t="n">
        <v>1</v>
      </c>
      <c r="G48" s="5" t="s">
        <v>1689</v>
      </c>
    </row>
    <row r="49" customFormat="false" ht="15" hidden="false" customHeight="false" outlineLevel="0" collapsed="false">
      <c r="A49" s="3" t="n">
        <v>48</v>
      </c>
      <c r="B49" s="8" t="s">
        <v>268</v>
      </c>
      <c r="C49" s="3" t="s">
        <v>17</v>
      </c>
      <c r="D49" s="23" t="s">
        <v>15</v>
      </c>
      <c r="E49" s="5" t="s">
        <v>269</v>
      </c>
      <c r="F49" s="3" t="n">
        <v>1</v>
      </c>
      <c r="G49" s="5" t="s">
        <v>1690</v>
      </c>
    </row>
    <row r="50" customFormat="false" ht="15" hidden="false" customHeight="false" outlineLevel="0" collapsed="false">
      <c r="A50" s="3" t="n">
        <v>49</v>
      </c>
      <c r="B50" s="8" t="s">
        <v>274</v>
      </c>
      <c r="C50" s="3" t="s">
        <v>108</v>
      </c>
      <c r="D50" s="23" t="s">
        <v>15</v>
      </c>
      <c r="E50" s="5" t="s">
        <v>275</v>
      </c>
      <c r="F50" s="3" t="n">
        <v>1</v>
      </c>
      <c r="G50" s="5" t="s">
        <v>1690</v>
      </c>
    </row>
    <row r="51" customFormat="false" ht="15" hidden="false" customHeight="false" outlineLevel="0" collapsed="false">
      <c r="A51" s="3" t="n">
        <v>50</v>
      </c>
      <c r="B51" s="8" t="s">
        <v>277</v>
      </c>
      <c r="C51" s="3" t="s">
        <v>142</v>
      </c>
      <c r="D51" s="23" t="s">
        <v>15</v>
      </c>
      <c r="E51" s="5" t="s">
        <v>278</v>
      </c>
      <c r="F51" s="3" t="n">
        <v>1</v>
      </c>
      <c r="G51" s="5" t="s">
        <v>1690</v>
      </c>
    </row>
    <row r="52" customFormat="false" ht="15" hidden="false" customHeight="false" outlineLevel="0" collapsed="false">
      <c r="A52" s="3" t="n">
        <v>51</v>
      </c>
      <c r="B52" s="8" t="s">
        <v>284</v>
      </c>
      <c r="C52" s="3" t="s">
        <v>125</v>
      </c>
      <c r="D52" s="23" t="s">
        <v>15</v>
      </c>
      <c r="E52" s="5" t="s">
        <v>285</v>
      </c>
      <c r="F52" s="3" t="n">
        <v>1</v>
      </c>
      <c r="G52" s="5" t="s">
        <v>1691</v>
      </c>
    </row>
    <row r="53" customFormat="false" ht="15" hidden="false" customHeight="false" outlineLevel="0" collapsed="false">
      <c r="A53" s="3" t="n">
        <v>52</v>
      </c>
      <c r="B53" s="8" t="s">
        <v>287</v>
      </c>
      <c r="C53" s="3" t="s">
        <v>29</v>
      </c>
      <c r="D53" s="23" t="s">
        <v>15</v>
      </c>
      <c r="E53" s="10" t="s">
        <v>288</v>
      </c>
      <c r="F53" s="3" t="n">
        <v>1</v>
      </c>
      <c r="G53" s="5" t="s">
        <v>1691</v>
      </c>
    </row>
    <row r="54" customFormat="false" ht="15" hidden="false" customHeight="false" outlineLevel="0" collapsed="false">
      <c r="A54" s="3" t="n">
        <v>53</v>
      </c>
      <c r="B54" s="8" t="s">
        <v>290</v>
      </c>
      <c r="C54" s="3" t="s">
        <v>57</v>
      </c>
      <c r="D54" s="23" t="s">
        <v>15</v>
      </c>
      <c r="E54" s="10" t="s">
        <v>291</v>
      </c>
      <c r="F54" s="3" t="n">
        <v>1</v>
      </c>
      <c r="G54" s="5" t="s">
        <v>1691</v>
      </c>
    </row>
    <row r="55" customFormat="false" ht="15" hidden="false" customHeight="false" outlineLevel="0" collapsed="false">
      <c r="A55" s="3" t="n">
        <v>54</v>
      </c>
      <c r="B55" s="8" t="s">
        <v>293</v>
      </c>
      <c r="C55" s="3" t="s">
        <v>65</v>
      </c>
      <c r="D55" s="23" t="s">
        <v>15</v>
      </c>
      <c r="E55" s="5" t="s">
        <v>294</v>
      </c>
      <c r="F55" s="3" t="n">
        <v>1</v>
      </c>
      <c r="G55" s="5" t="s">
        <v>1691</v>
      </c>
    </row>
    <row r="56" customFormat="false" ht="15" hidden="false" customHeight="false" outlineLevel="0" collapsed="false">
      <c r="A56" s="3" t="n">
        <v>55</v>
      </c>
      <c r="B56" s="8" t="s">
        <v>296</v>
      </c>
      <c r="C56" s="3" t="s">
        <v>57</v>
      </c>
      <c r="D56" s="23" t="s">
        <v>15</v>
      </c>
      <c r="E56" s="10" t="s">
        <v>297</v>
      </c>
      <c r="F56" s="3" t="n">
        <v>1</v>
      </c>
      <c r="G56" s="5" t="s">
        <v>1691</v>
      </c>
    </row>
    <row r="57" customFormat="false" ht="15" hidden="false" customHeight="false" outlineLevel="0" collapsed="false">
      <c r="A57" s="3" t="n">
        <v>56</v>
      </c>
      <c r="B57" s="8" t="s">
        <v>299</v>
      </c>
      <c r="C57" s="3" t="s">
        <v>53</v>
      </c>
      <c r="D57" s="23" t="s">
        <v>111</v>
      </c>
      <c r="E57" s="5" t="s">
        <v>300</v>
      </c>
      <c r="F57" s="3" t="n">
        <v>1</v>
      </c>
      <c r="G57" s="5" t="s">
        <v>1691</v>
      </c>
    </row>
    <row r="58" customFormat="false" ht="15" hidden="false" customHeight="false" outlineLevel="0" collapsed="false">
      <c r="A58" s="3" t="n">
        <v>57</v>
      </c>
      <c r="B58" s="8" t="s">
        <v>315</v>
      </c>
      <c r="C58" s="3" t="s">
        <v>57</v>
      </c>
      <c r="D58" s="23" t="s">
        <v>111</v>
      </c>
      <c r="E58" s="5" t="s">
        <v>316</v>
      </c>
      <c r="F58" s="3" t="n">
        <v>1</v>
      </c>
      <c r="G58" s="5" t="s">
        <v>1692</v>
      </c>
    </row>
    <row r="59" customFormat="false" ht="15" hidden="false" customHeight="false" outlineLevel="0" collapsed="false">
      <c r="A59" s="3" t="n">
        <v>58</v>
      </c>
      <c r="B59" s="8" t="s">
        <v>324</v>
      </c>
      <c r="C59" s="3" t="s">
        <v>57</v>
      </c>
      <c r="D59" s="23" t="s">
        <v>15</v>
      </c>
      <c r="E59" s="10" t="s">
        <v>325</v>
      </c>
      <c r="F59" s="3" t="n">
        <v>1</v>
      </c>
      <c r="G59" s="5" t="s">
        <v>1693</v>
      </c>
    </row>
    <row r="60" customFormat="false" ht="15" hidden="false" customHeight="false" outlineLevel="0" collapsed="false">
      <c r="A60" s="3" t="n">
        <v>59</v>
      </c>
      <c r="B60" s="8" t="s">
        <v>327</v>
      </c>
      <c r="C60" s="3" t="s">
        <v>57</v>
      </c>
      <c r="D60" s="23" t="s">
        <v>15</v>
      </c>
      <c r="E60" s="10" t="s">
        <v>328</v>
      </c>
      <c r="F60" s="3" t="n">
        <v>1</v>
      </c>
      <c r="G60" s="5" t="s">
        <v>1693</v>
      </c>
    </row>
    <row r="61" customFormat="false" ht="15" hidden="false" customHeight="false" outlineLevel="0" collapsed="false">
      <c r="A61" s="3" t="n">
        <v>60</v>
      </c>
      <c r="B61" s="8" t="s">
        <v>330</v>
      </c>
      <c r="C61" s="3" t="s">
        <v>331</v>
      </c>
      <c r="D61" s="23" t="s">
        <v>111</v>
      </c>
      <c r="E61" s="5" t="s">
        <v>332</v>
      </c>
      <c r="F61" s="3" t="n">
        <v>1</v>
      </c>
      <c r="G61" s="5" t="s">
        <v>1693</v>
      </c>
    </row>
    <row r="62" customFormat="false" ht="15" hidden="false" customHeight="false" outlineLevel="0" collapsed="false">
      <c r="A62" s="3" t="n">
        <v>61</v>
      </c>
      <c r="B62" s="8" t="s">
        <v>343</v>
      </c>
      <c r="C62" s="3" t="s">
        <v>21</v>
      </c>
      <c r="D62" s="23" t="s">
        <v>15</v>
      </c>
      <c r="E62" s="5" t="s">
        <v>344</v>
      </c>
      <c r="F62" s="3" t="n">
        <v>1</v>
      </c>
      <c r="G62" s="5" t="s">
        <v>1694</v>
      </c>
    </row>
    <row r="63" customFormat="false" ht="15" hidden="false" customHeight="false" outlineLevel="0" collapsed="false">
      <c r="A63" s="3" t="n">
        <v>62</v>
      </c>
      <c r="B63" s="8" t="s">
        <v>346</v>
      </c>
      <c r="C63" s="3" t="s">
        <v>125</v>
      </c>
      <c r="D63" s="23" t="s">
        <v>15</v>
      </c>
      <c r="E63" s="5" t="s">
        <v>347</v>
      </c>
      <c r="F63" s="3" t="n">
        <v>1</v>
      </c>
      <c r="G63" s="5" t="s">
        <v>1694</v>
      </c>
    </row>
    <row r="64" customFormat="false" ht="15" hidden="false" customHeight="false" outlineLevel="0" collapsed="false">
      <c r="A64" s="3" t="n">
        <v>63</v>
      </c>
      <c r="B64" s="8" t="s">
        <v>349</v>
      </c>
      <c r="C64" s="3" t="s">
        <v>21</v>
      </c>
      <c r="D64" s="23" t="s">
        <v>15</v>
      </c>
      <c r="E64" s="5" t="s">
        <v>350</v>
      </c>
      <c r="F64" s="3" t="n">
        <v>1</v>
      </c>
      <c r="G64" s="5" t="s">
        <v>1694</v>
      </c>
    </row>
    <row r="65" customFormat="false" ht="15" hidden="false" customHeight="false" outlineLevel="0" collapsed="false">
      <c r="A65" s="3" t="n">
        <v>64</v>
      </c>
      <c r="B65" s="8" t="s">
        <v>352</v>
      </c>
      <c r="C65" s="3" t="s">
        <v>80</v>
      </c>
      <c r="D65" s="23" t="s">
        <v>15</v>
      </c>
      <c r="E65" s="5" t="s">
        <v>353</v>
      </c>
      <c r="F65" s="3" t="n">
        <v>1</v>
      </c>
      <c r="G65" s="5" t="s">
        <v>1694</v>
      </c>
    </row>
    <row r="66" customFormat="false" ht="15" hidden="false" customHeight="false" outlineLevel="0" collapsed="false">
      <c r="A66" s="3" t="n">
        <v>65</v>
      </c>
      <c r="B66" s="8" t="s">
        <v>355</v>
      </c>
      <c r="C66" s="3" t="s">
        <v>29</v>
      </c>
      <c r="D66" s="23" t="s">
        <v>15</v>
      </c>
      <c r="E66" s="10" t="s">
        <v>356</v>
      </c>
      <c r="F66" s="3" t="n">
        <v>1</v>
      </c>
      <c r="G66" s="5" t="s">
        <v>1694</v>
      </c>
    </row>
    <row r="67" customFormat="false" ht="15" hidden="false" customHeight="false" outlineLevel="0" collapsed="false">
      <c r="A67" s="3" t="n">
        <v>66</v>
      </c>
      <c r="B67" s="8" t="s">
        <v>358</v>
      </c>
      <c r="C67" s="3" t="s">
        <v>29</v>
      </c>
      <c r="D67" s="23" t="s">
        <v>15</v>
      </c>
      <c r="E67" s="10" t="s">
        <v>359</v>
      </c>
      <c r="F67" s="3" t="n">
        <v>1</v>
      </c>
      <c r="G67" s="5" t="s">
        <v>1694</v>
      </c>
    </row>
    <row r="68" customFormat="false" ht="15" hidden="false" customHeight="false" outlineLevel="0" collapsed="false">
      <c r="A68" s="3" t="n">
        <v>67</v>
      </c>
      <c r="B68" s="8" t="s">
        <v>362</v>
      </c>
      <c r="C68" s="3" t="s">
        <v>363</v>
      </c>
      <c r="D68" s="23" t="s">
        <v>15</v>
      </c>
      <c r="E68" s="5" t="s">
        <v>364</v>
      </c>
      <c r="F68" s="3" t="n">
        <v>1</v>
      </c>
      <c r="G68" s="5" t="s">
        <v>1695</v>
      </c>
    </row>
    <row r="69" customFormat="false" ht="15" hidden="false" customHeight="false" outlineLevel="0" collapsed="false">
      <c r="A69" s="3" t="n">
        <v>68</v>
      </c>
      <c r="B69" s="8" t="s">
        <v>366</v>
      </c>
      <c r="C69" s="3" t="s">
        <v>363</v>
      </c>
      <c r="D69" s="23" t="s">
        <v>15</v>
      </c>
      <c r="E69" s="5" t="s">
        <v>367</v>
      </c>
      <c r="F69" s="3" t="n">
        <v>1</v>
      </c>
      <c r="G69" s="5" t="s">
        <v>1695</v>
      </c>
    </row>
    <row r="70" customFormat="false" ht="15" hidden="false" customHeight="false" outlineLevel="0" collapsed="false">
      <c r="A70" s="3" t="n">
        <v>69</v>
      </c>
      <c r="B70" s="8" t="s">
        <v>369</v>
      </c>
      <c r="C70" s="3" t="s">
        <v>80</v>
      </c>
      <c r="D70" s="23" t="s">
        <v>15</v>
      </c>
      <c r="E70" s="10" t="s">
        <v>370</v>
      </c>
      <c r="F70" s="3" t="n">
        <v>1</v>
      </c>
      <c r="G70" s="5" t="s">
        <v>1695</v>
      </c>
    </row>
    <row r="71" customFormat="false" ht="15" hidden="false" customHeight="false" outlineLevel="0" collapsed="false">
      <c r="A71" s="3" t="n">
        <v>70</v>
      </c>
      <c r="B71" s="8" t="s">
        <v>372</v>
      </c>
      <c r="C71" s="3" t="s">
        <v>29</v>
      </c>
      <c r="D71" s="23" t="s">
        <v>15</v>
      </c>
      <c r="E71" s="10" t="s">
        <v>373</v>
      </c>
      <c r="F71" s="3" t="n">
        <v>1</v>
      </c>
      <c r="G71" s="5" t="s">
        <v>1695</v>
      </c>
    </row>
    <row r="72" customFormat="false" ht="15" hidden="false" customHeight="false" outlineLevel="0" collapsed="false">
      <c r="A72" s="3" t="n">
        <v>71</v>
      </c>
      <c r="B72" s="8" t="s">
        <v>375</v>
      </c>
      <c r="C72" s="3" t="s">
        <v>72</v>
      </c>
      <c r="D72" s="23" t="s">
        <v>15</v>
      </c>
      <c r="E72" s="5" t="s">
        <v>376</v>
      </c>
      <c r="F72" s="3" t="n">
        <v>1</v>
      </c>
      <c r="G72" s="5" t="s">
        <v>1695</v>
      </c>
    </row>
    <row r="73" customFormat="false" ht="15" hidden="false" customHeight="false" outlineLevel="0" collapsed="false">
      <c r="A73" s="3" t="n">
        <v>72</v>
      </c>
      <c r="B73" s="8" t="s">
        <v>378</v>
      </c>
      <c r="C73" s="3" t="s">
        <v>57</v>
      </c>
      <c r="D73" s="23" t="s">
        <v>15</v>
      </c>
      <c r="E73" s="10" t="s">
        <v>379</v>
      </c>
      <c r="F73" s="3" t="n">
        <v>1</v>
      </c>
      <c r="G73" s="5" t="s">
        <v>1695</v>
      </c>
    </row>
    <row r="74" customFormat="false" ht="15" hidden="false" customHeight="false" outlineLevel="0" collapsed="false">
      <c r="A74" s="3" t="n">
        <v>73</v>
      </c>
      <c r="B74" s="8" t="s">
        <v>382</v>
      </c>
      <c r="C74" s="3" t="s">
        <v>383</v>
      </c>
      <c r="D74" s="23" t="s">
        <v>15</v>
      </c>
      <c r="E74" s="5" t="s">
        <v>384</v>
      </c>
      <c r="F74" s="3" t="n">
        <v>1</v>
      </c>
      <c r="G74" s="5" t="s">
        <v>1696</v>
      </c>
    </row>
    <row r="75" customFormat="false" ht="15" hidden="false" customHeight="false" outlineLevel="0" collapsed="false">
      <c r="A75" s="3" t="n">
        <v>74</v>
      </c>
      <c r="B75" s="8" t="s">
        <v>386</v>
      </c>
      <c r="C75" s="3" t="s">
        <v>45</v>
      </c>
      <c r="D75" s="23" t="s">
        <v>15</v>
      </c>
      <c r="E75" s="10" t="s">
        <v>387</v>
      </c>
      <c r="F75" s="3" t="n">
        <v>1</v>
      </c>
      <c r="G75" s="5" t="s">
        <v>1696</v>
      </c>
    </row>
    <row r="76" customFormat="false" ht="15" hidden="false" customHeight="false" outlineLevel="0" collapsed="false">
      <c r="A76" s="3" t="n">
        <v>75</v>
      </c>
      <c r="B76" s="8" t="s">
        <v>389</v>
      </c>
      <c r="C76" s="3" t="s">
        <v>25</v>
      </c>
      <c r="D76" s="23" t="s">
        <v>15</v>
      </c>
      <c r="E76" s="10" t="s">
        <v>390</v>
      </c>
      <c r="F76" s="3" t="n">
        <v>1</v>
      </c>
      <c r="G76" s="5" t="s">
        <v>1696</v>
      </c>
    </row>
    <row r="77" customFormat="false" ht="15" hidden="false" customHeight="false" outlineLevel="0" collapsed="false">
      <c r="A77" s="3" t="n">
        <v>76</v>
      </c>
      <c r="B77" s="8" t="s">
        <v>392</v>
      </c>
      <c r="C77" s="3" t="s">
        <v>53</v>
      </c>
      <c r="D77" s="23" t="s">
        <v>15</v>
      </c>
      <c r="E77" s="5" t="s">
        <v>393</v>
      </c>
      <c r="F77" s="3" t="n">
        <v>1</v>
      </c>
      <c r="G77" s="5" t="s">
        <v>1696</v>
      </c>
    </row>
    <row r="78" customFormat="false" ht="15" hidden="false" customHeight="false" outlineLevel="0" collapsed="false">
      <c r="A78" s="3" t="n">
        <v>77</v>
      </c>
      <c r="B78" s="8" t="s">
        <v>395</v>
      </c>
      <c r="C78" s="3" t="s">
        <v>305</v>
      </c>
      <c r="D78" s="23" t="s">
        <v>111</v>
      </c>
      <c r="E78" s="10" t="s">
        <v>396</v>
      </c>
      <c r="F78" s="3" t="n">
        <v>1</v>
      </c>
      <c r="G78" s="5" t="s">
        <v>1696</v>
      </c>
    </row>
    <row r="79" customFormat="false" ht="15" hidden="false" customHeight="false" outlineLevel="0" collapsed="false">
      <c r="A79" s="3" t="n">
        <v>78</v>
      </c>
      <c r="B79" s="8" t="s">
        <v>398</v>
      </c>
      <c r="C79" s="3" t="s">
        <v>142</v>
      </c>
      <c r="D79" s="23" t="s">
        <v>15</v>
      </c>
      <c r="E79" s="5" t="s">
        <v>399</v>
      </c>
      <c r="F79" s="3" t="n">
        <v>1</v>
      </c>
      <c r="G79" s="5" t="s">
        <v>1696</v>
      </c>
    </row>
    <row r="80" customFormat="false" ht="15" hidden="false" customHeight="false" outlineLevel="0" collapsed="false">
      <c r="A80" s="3" t="n">
        <v>79</v>
      </c>
      <c r="B80" s="8" t="s">
        <v>402</v>
      </c>
      <c r="C80" s="3" t="s">
        <v>57</v>
      </c>
      <c r="D80" s="23" t="s">
        <v>111</v>
      </c>
      <c r="E80" s="5" t="s">
        <v>403</v>
      </c>
      <c r="F80" s="3" t="n">
        <v>1</v>
      </c>
      <c r="G80" s="5" t="s">
        <v>1697</v>
      </c>
    </row>
    <row r="81" customFormat="false" ht="15" hidden="false" customHeight="false" outlineLevel="0" collapsed="false">
      <c r="A81" s="3" t="n">
        <v>80</v>
      </c>
      <c r="B81" s="8" t="s">
        <v>405</v>
      </c>
      <c r="C81" s="3" t="s">
        <v>57</v>
      </c>
      <c r="D81" s="23" t="s">
        <v>111</v>
      </c>
      <c r="E81" s="5" t="s">
        <v>406</v>
      </c>
      <c r="F81" s="3" t="n">
        <v>1</v>
      </c>
      <c r="G81" s="5" t="s">
        <v>1697</v>
      </c>
    </row>
    <row r="82" customFormat="false" ht="15" hidden="false" customHeight="false" outlineLevel="0" collapsed="false">
      <c r="A82" s="3" t="n">
        <v>81</v>
      </c>
      <c r="B82" s="8" t="s">
        <v>408</v>
      </c>
      <c r="C82" s="3" t="s">
        <v>57</v>
      </c>
      <c r="D82" s="23" t="s">
        <v>111</v>
      </c>
      <c r="E82" s="5" t="s">
        <v>409</v>
      </c>
      <c r="F82" s="3" t="n">
        <v>1</v>
      </c>
      <c r="G82" s="5" t="s">
        <v>1697</v>
      </c>
    </row>
    <row r="83" customFormat="false" ht="15" hidden="false" customHeight="false" outlineLevel="0" collapsed="false">
      <c r="A83" s="3" t="n">
        <v>82</v>
      </c>
      <c r="B83" s="8" t="s">
        <v>411</v>
      </c>
      <c r="C83" s="3" t="s">
        <v>80</v>
      </c>
      <c r="D83" s="23" t="s">
        <v>15</v>
      </c>
      <c r="E83" s="5" t="s">
        <v>412</v>
      </c>
      <c r="F83" s="3" t="n">
        <v>1</v>
      </c>
      <c r="G83" s="5" t="s">
        <v>1697</v>
      </c>
    </row>
    <row r="84" customFormat="false" ht="15" hidden="false" customHeight="false" outlineLevel="0" collapsed="false">
      <c r="A84" s="3" t="n">
        <v>83</v>
      </c>
      <c r="B84" s="8" t="s">
        <v>414</v>
      </c>
      <c r="C84" s="3" t="s">
        <v>57</v>
      </c>
      <c r="D84" s="23" t="s">
        <v>111</v>
      </c>
      <c r="E84" s="10" t="s">
        <v>415</v>
      </c>
      <c r="F84" s="3" t="n">
        <v>1</v>
      </c>
      <c r="G84" s="5" t="s">
        <v>1697</v>
      </c>
    </row>
    <row r="85" customFormat="false" ht="15" hidden="false" customHeight="false" outlineLevel="0" collapsed="false">
      <c r="A85" s="3" t="n">
        <v>84</v>
      </c>
      <c r="B85" s="8" t="s">
        <v>417</v>
      </c>
      <c r="C85" s="3" t="s">
        <v>57</v>
      </c>
      <c r="D85" s="23" t="s">
        <v>15</v>
      </c>
      <c r="E85" s="10" t="s">
        <v>418</v>
      </c>
      <c r="F85" s="3" t="n">
        <v>1</v>
      </c>
      <c r="G85" s="5" t="s">
        <v>1697</v>
      </c>
    </row>
    <row r="86" customFormat="false" ht="15" hidden="false" customHeight="false" outlineLevel="0" collapsed="false">
      <c r="A86" s="3" t="n">
        <v>85</v>
      </c>
      <c r="B86" s="8" t="s">
        <v>421</v>
      </c>
      <c r="C86" s="3" t="s">
        <v>125</v>
      </c>
      <c r="D86" s="23" t="s">
        <v>15</v>
      </c>
      <c r="E86" s="5" t="s">
        <v>422</v>
      </c>
      <c r="F86" s="3" t="n">
        <v>1</v>
      </c>
      <c r="G86" s="5" t="s">
        <v>1698</v>
      </c>
    </row>
    <row r="87" customFormat="false" ht="15" hidden="false" customHeight="false" outlineLevel="0" collapsed="false">
      <c r="A87" s="3" t="n">
        <v>86</v>
      </c>
      <c r="B87" s="8" t="s">
        <v>424</v>
      </c>
      <c r="C87" s="3" t="s">
        <v>21</v>
      </c>
      <c r="D87" s="23" t="s">
        <v>15</v>
      </c>
      <c r="E87" s="5" t="s">
        <v>425</v>
      </c>
      <c r="F87" s="3" t="n">
        <v>1</v>
      </c>
      <c r="G87" s="5" t="s">
        <v>1698</v>
      </c>
    </row>
    <row r="88" customFormat="false" ht="15" hidden="false" customHeight="false" outlineLevel="0" collapsed="false">
      <c r="A88" s="3" t="n">
        <v>87</v>
      </c>
      <c r="B88" s="8" t="s">
        <v>427</v>
      </c>
      <c r="C88" s="3" t="s">
        <v>53</v>
      </c>
      <c r="D88" s="23" t="s">
        <v>111</v>
      </c>
      <c r="E88" s="5" t="s">
        <v>428</v>
      </c>
      <c r="F88" s="3" t="n">
        <v>1</v>
      </c>
      <c r="G88" s="5" t="s">
        <v>1698</v>
      </c>
    </row>
    <row r="89" customFormat="false" ht="15" hidden="false" customHeight="false" outlineLevel="0" collapsed="false">
      <c r="A89" s="3" t="n">
        <v>88</v>
      </c>
      <c r="B89" s="8" t="s">
        <v>430</v>
      </c>
      <c r="C89" s="3" t="s">
        <v>57</v>
      </c>
      <c r="D89" s="23" t="s">
        <v>15</v>
      </c>
      <c r="E89" s="10" t="s">
        <v>431</v>
      </c>
      <c r="F89" s="3" t="n">
        <v>1</v>
      </c>
      <c r="G89" s="5" t="s">
        <v>1698</v>
      </c>
    </row>
    <row r="90" customFormat="false" ht="15" hidden="false" customHeight="false" outlineLevel="0" collapsed="false">
      <c r="A90" s="3" t="n">
        <v>89</v>
      </c>
      <c r="B90" s="8" t="s">
        <v>433</v>
      </c>
      <c r="C90" s="3" t="s">
        <v>331</v>
      </c>
      <c r="D90" s="23" t="s">
        <v>111</v>
      </c>
      <c r="E90" s="5" t="s">
        <v>434</v>
      </c>
      <c r="F90" s="3" t="n">
        <v>1</v>
      </c>
      <c r="G90" s="5" t="s">
        <v>1698</v>
      </c>
    </row>
    <row r="91" customFormat="false" ht="15" hidden="false" customHeight="false" outlineLevel="0" collapsed="false">
      <c r="A91" s="3" t="n">
        <v>90</v>
      </c>
      <c r="B91" s="8" t="s">
        <v>436</v>
      </c>
      <c r="C91" s="3" t="s">
        <v>80</v>
      </c>
      <c r="D91" s="23" t="s">
        <v>15</v>
      </c>
      <c r="E91" s="5" t="s">
        <v>437</v>
      </c>
      <c r="F91" s="3" t="n">
        <v>1</v>
      </c>
      <c r="G91" s="5" t="s">
        <v>1698</v>
      </c>
    </row>
    <row r="92" customFormat="false" ht="15" hidden="false" customHeight="false" outlineLevel="0" collapsed="false">
      <c r="A92" s="3" t="n">
        <v>91</v>
      </c>
      <c r="B92" s="8" t="s">
        <v>440</v>
      </c>
      <c r="C92" s="3" t="s">
        <v>80</v>
      </c>
      <c r="D92" s="23" t="s">
        <v>15</v>
      </c>
      <c r="E92" s="5" t="s">
        <v>441</v>
      </c>
      <c r="F92" s="3" t="n">
        <v>1</v>
      </c>
      <c r="G92" s="5" t="s">
        <v>1699</v>
      </c>
    </row>
    <row r="93" customFormat="false" ht="15" hidden="false" customHeight="false" outlineLevel="0" collapsed="false">
      <c r="A93" s="3" t="n">
        <v>92</v>
      </c>
      <c r="B93" s="8" t="s">
        <v>443</v>
      </c>
      <c r="C93" s="3" t="s">
        <v>142</v>
      </c>
      <c r="D93" s="23" t="s">
        <v>15</v>
      </c>
      <c r="E93" s="5" t="s">
        <v>444</v>
      </c>
      <c r="F93" s="3" t="n">
        <v>2</v>
      </c>
      <c r="G93" s="5" t="s">
        <v>1699</v>
      </c>
    </row>
    <row r="94" customFormat="false" ht="15" hidden="false" customHeight="false" outlineLevel="0" collapsed="false">
      <c r="A94" s="3" t="n">
        <v>93</v>
      </c>
      <c r="B94" s="8" t="s">
        <v>446</v>
      </c>
      <c r="C94" s="3" t="s">
        <v>142</v>
      </c>
      <c r="D94" s="23" t="s">
        <v>15</v>
      </c>
      <c r="E94" s="5" t="s">
        <v>447</v>
      </c>
      <c r="F94" s="3" t="n">
        <v>1</v>
      </c>
      <c r="G94" s="5" t="s">
        <v>1699</v>
      </c>
    </row>
    <row r="95" customFormat="false" ht="15" hidden="false" customHeight="false" outlineLevel="0" collapsed="false">
      <c r="A95" s="3" t="n">
        <v>94</v>
      </c>
      <c r="B95" s="8" t="s">
        <v>449</v>
      </c>
      <c r="C95" s="3" t="s">
        <v>142</v>
      </c>
      <c r="D95" s="23" t="s">
        <v>15</v>
      </c>
      <c r="E95" s="5" t="s">
        <v>450</v>
      </c>
      <c r="F95" s="3" t="n">
        <v>1</v>
      </c>
      <c r="G95" s="5" t="s">
        <v>1699</v>
      </c>
    </row>
    <row r="96" customFormat="false" ht="15" hidden="false" customHeight="false" outlineLevel="0" collapsed="false">
      <c r="A96" s="3" t="n">
        <v>95</v>
      </c>
      <c r="B96" s="8" t="s">
        <v>452</v>
      </c>
      <c r="C96" s="3" t="s">
        <v>80</v>
      </c>
      <c r="D96" s="23" t="s">
        <v>15</v>
      </c>
      <c r="E96" s="5" t="s">
        <v>453</v>
      </c>
      <c r="F96" s="3" t="n">
        <v>1</v>
      </c>
      <c r="G96" s="5" t="s">
        <v>1699</v>
      </c>
    </row>
    <row r="97" customFormat="false" ht="15" hidden="false" customHeight="false" outlineLevel="0" collapsed="false">
      <c r="A97" s="3" t="n">
        <v>96</v>
      </c>
      <c r="B97" s="8" t="s">
        <v>455</v>
      </c>
      <c r="C97" s="3" t="s">
        <v>53</v>
      </c>
      <c r="D97" s="23" t="s">
        <v>111</v>
      </c>
      <c r="E97" s="5" t="s">
        <v>456</v>
      </c>
      <c r="F97" s="3" t="n">
        <v>1</v>
      </c>
      <c r="G97" s="5" t="s">
        <v>1699</v>
      </c>
    </row>
    <row r="98" customFormat="false" ht="15" hidden="false" customHeight="false" outlineLevel="0" collapsed="false">
      <c r="A98" s="3" t="n">
        <v>97</v>
      </c>
      <c r="B98" s="8" t="s">
        <v>459</v>
      </c>
      <c r="C98" s="3" t="s">
        <v>460</v>
      </c>
      <c r="D98" s="23" t="s">
        <v>15</v>
      </c>
      <c r="E98" s="5" t="s">
        <v>461</v>
      </c>
      <c r="F98" s="3" t="n">
        <v>1</v>
      </c>
      <c r="G98" s="5" t="s">
        <v>1700</v>
      </c>
    </row>
    <row r="99" customFormat="false" ht="15" hidden="false" customHeight="false" outlineLevel="0" collapsed="false">
      <c r="A99" s="3" t="n">
        <v>98</v>
      </c>
      <c r="B99" s="8" t="s">
        <v>463</v>
      </c>
      <c r="C99" s="3" t="s">
        <v>460</v>
      </c>
      <c r="D99" s="23" t="s">
        <v>111</v>
      </c>
      <c r="E99" s="5" t="s">
        <v>464</v>
      </c>
      <c r="F99" s="3" t="n">
        <v>1</v>
      </c>
      <c r="G99" s="5" t="s">
        <v>1700</v>
      </c>
    </row>
    <row r="100" customFormat="false" ht="15" hidden="false" customHeight="false" outlineLevel="0" collapsed="false">
      <c r="A100" s="3" t="n">
        <v>99</v>
      </c>
      <c r="B100" s="8" t="s">
        <v>466</v>
      </c>
      <c r="C100" s="3" t="s">
        <v>29</v>
      </c>
      <c r="D100" s="23" t="s">
        <v>15</v>
      </c>
      <c r="E100" s="10" t="s">
        <v>467</v>
      </c>
      <c r="F100" s="3" t="n">
        <v>1</v>
      </c>
      <c r="G100" s="5" t="s">
        <v>1700</v>
      </c>
    </row>
    <row r="101" customFormat="false" ht="15" hidden="false" customHeight="false" outlineLevel="0" collapsed="false">
      <c r="A101" s="3" t="n">
        <v>100</v>
      </c>
      <c r="B101" s="8" t="s">
        <v>469</v>
      </c>
      <c r="C101" s="3" t="s">
        <v>460</v>
      </c>
      <c r="D101" s="23" t="s">
        <v>15</v>
      </c>
      <c r="E101" s="5" t="s">
        <v>470</v>
      </c>
      <c r="F101" s="3" t="n">
        <v>1</v>
      </c>
      <c r="G101" s="5" t="s">
        <v>1700</v>
      </c>
    </row>
    <row r="102" customFormat="false" ht="15" hidden="false" customHeight="false" outlineLevel="0" collapsed="false">
      <c r="A102" s="3" t="n">
        <v>101</v>
      </c>
      <c r="B102" s="8" t="s">
        <v>472</v>
      </c>
      <c r="C102" s="3" t="s">
        <v>57</v>
      </c>
      <c r="D102" s="23" t="s">
        <v>15</v>
      </c>
      <c r="E102" s="10" t="s">
        <v>473</v>
      </c>
      <c r="F102" s="3" t="n">
        <v>1</v>
      </c>
      <c r="G102" s="5" t="s">
        <v>1700</v>
      </c>
    </row>
    <row r="103" customFormat="false" ht="15" hidden="false" customHeight="false" outlineLevel="0" collapsed="false">
      <c r="A103" s="3" t="n">
        <v>102</v>
      </c>
      <c r="B103" s="8" t="s">
        <v>475</v>
      </c>
      <c r="C103" s="3" t="s">
        <v>57</v>
      </c>
      <c r="D103" s="23" t="s">
        <v>15</v>
      </c>
      <c r="E103" s="10" t="s">
        <v>476</v>
      </c>
      <c r="F103" s="3" t="n">
        <v>1</v>
      </c>
      <c r="G103" s="5" t="s">
        <v>1700</v>
      </c>
    </row>
    <row r="104" customFormat="false" ht="15" hidden="false" customHeight="false" outlineLevel="0" collapsed="false">
      <c r="A104" s="3" t="n">
        <v>103</v>
      </c>
      <c r="B104" s="8" t="s">
        <v>484</v>
      </c>
      <c r="C104" s="3" t="s">
        <v>331</v>
      </c>
      <c r="D104" s="23" t="s">
        <v>111</v>
      </c>
      <c r="E104" s="5" t="s">
        <v>485</v>
      </c>
      <c r="F104" s="3" t="n">
        <v>1</v>
      </c>
      <c r="G104" s="5" t="s">
        <v>1701</v>
      </c>
    </row>
    <row r="105" customFormat="false" ht="15" hidden="false" customHeight="false" outlineLevel="0" collapsed="false">
      <c r="A105" s="3" t="n">
        <v>104</v>
      </c>
      <c r="B105" s="8" t="s">
        <v>487</v>
      </c>
      <c r="C105" s="3" t="s">
        <v>57</v>
      </c>
      <c r="D105" s="23" t="s">
        <v>111</v>
      </c>
      <c r="E105" s="5" t="s">
        <v>488</v>
      </c>
      <c r="F105" s="3" t="n">
        <v>1</v>
      </c>
      <c r="G105" s="5" t="s">
        <v>1701</v>
      </c>
    </row>
    <row r="106" customFormat="false" ht="15" hidden="false" customHeight="false" outlineLevel="0" collapsed="false">
      <c r="A106" s="3" t="n">
        <v>105</v>
      </c>
      <c r="B106" s="8" t="s">
        <v>490</v>
      </c>
      <c r="C106" s="3" t="s">
        <v>57</v>
      </c>
      <c r="D106" s="23" t="s">
        <v>111</v>
      </c>
      <c r="E106" s="5" t="s">
        <v>491</v>
      </c>
      <c r="F106" s="3" t="n">
        <v>1</v>
      </c>
      <c r="G106" s="5" t="s">
        <v>1701</v>
      </c>
    </row>
    <row r="107" customFormat="false" ht="15" hidden="false" customHeight="false" outlineLevel="0" collapsed="false">
      <c r="A107" s="3" t="n">
        <v>106</v>
      </c>
      <c r="B107" s="8" t="s">
        <v>493</v>
      </c>
      <c r="C107" s="3" t="s">
        <v>57</v>
      </c>
      <c r="D107" s="23" t="s">
        <v>111</v>
      </c>
      <c r="E107" s="5" t="s">
        <v>494</v>
      </c>
      <c r="F107" s="3" t="n">
        <v>1</v>
      </c>
      <c r="G107" s="5" t="s">
        <v>1701</v>
      </c>
    </row>
    <row r="108" customFormat="false" ht="15" hidden="false" customHeight="false" outlineLevel="0" collapsed="false">
      <c r="A108" s="3" t="n">
        <v>107</v>
      </c>
      <c r="B108" s="8" t="s">
        <v>499</v>
      </c>
      <c r="C108" s="3" t="s">
        <v>125</v>
      </c>
      <c r="D108" s="23" t="s">
        <v>15</v>
      </c>
      <c r="E108" s="5" t="s">
        <v>500</v>
      </c>
      <c r="F108" s="3" t="n">
        <v>1</v>
      </c>
      <c r="G108" s="5" t="s">
        <v>1702</v>
      </c>
    </row>
    <row r="109" customFormat="false" ht="15" hidden="false" customHeight="false" outlineLevel="0" collapsed="false">
      <c r="A109" s="3" t="n">
        <v>108</v>
      </c>
      <c r="B109" s="8" t="s">
        <v>502</v>
      </c>
      <c r="C109" s="3" t="s">
        <v>29</v>
      </c>
      <c r="D109" s="23" t="s">
        <v>15</v>
      </c>
      <c r="E109" s="10" t="s">
        <v>503</v>
      </c>
      <c r="F109" s="3" t="n">
        <v>1</v>
      </c>
      <c r="G109" s="5" t="s">
        <v>1702</v>
      </c>
    </row>
    <row r="110" customFormat="false" ht="15" hidden="false" customHeight="false" outlineLevel="0" collapsed="false">
      <c r="A110" s="3" t="n">
        <v>109</v>
      </c>
      <c r="B110" s="8" t="s">
        <v>505</v>
      </c>
      <c r="C110" s="3" t="s">
        <v>17</v>
      </c>
      <c r="D110" s="23" t="s">
        <v>15</v>
      </c>
      <c r="E110" s="5" t="s">
        <v>506</v>
      </c>
      <c r="F110" s="3" t="n">
        <v>1</v>
      </c>
      <c r="G110" s="5" t="s">
        <v>1702</v>
      </c>
    </row>
    <row r="111" customFormat="false" ht="15" hidden="false" customHeight="false" outlineLevel="0" collapsed="false">
      <c r="A111" s="3" t="n">
        <v>110</v>
      </c>
      <c r="B111" s="8" t="s">
        <v>508</v>
      </c>
      <c r="C111" s="3" t="s">
        <v>125</v>
      </c>
      <c r="D111" s="23" t="s">
        <v>15</v>
      </c>
      <c r="E111" s="5" t="s">
        <v>509</v>
      </c>
      <c r="F111" s="3" t="n">
        <v>1</v>
      </c>
      <c r="G111" s="5" t="s">
        <v>1702</v>
      </c>
    </row>
    <row r="112" customFormat="false" ht="15" hidden="false" customHeight="false" outlineLevel="0" collapsed="false">
      <c r="A112" s="3" t="n">
        <v>111</v>
      </c>
      <c r="B112" s="8" t="s">
        <v>511</v>
      </c>
      <c r="C112" s="3" t="s">
        <v>57</v>
      </c>
      <c r="D112" s="23" t="s">
        <v>15</v>
      </c>
      <c r="E112" s="10" t="s">
        <v>512</v>
      </c>
      <c r="F112" s="3" t="n">
        <v>1</v>
      </c>
      <c r="G112" s="5" t="s">
        <v>1702</v>
      </c>
    </row>
    <row r="113" customFormat="false" ht="15" hidden="false" customHeight="false" outlineLevel="0" collapsed="false">
      <c r="A113" s="3" t="n">
        <v>112</v>
      </c>
      <c r="B113" s="8" t="s">
        <v>514</v>
      </c>
      <c r="C113" s="3" t="s">
        <v>29</v>
      </c>
      <c r="D113" s="23" t="s">
        <v>15</v>
      </c>
      <c r="E113" s="10" t="s">
        <v>515</v>
      </c>
      <c r="F113" s="3" t="n">
        <v>1</v>
      </c>
      <c r="G113" s="5" t="s">
        <v>1702</v>
      </c>
    </row>
    <row r="114" customFormat="false" ht="15" hidden="false" customHeight="false" outlineLevel="0" collapsed="false">
      <c r="A114" s="3" t="n">
        <v>113</v>
      </c>
      <c r="B114" s="8" t="s">
        <v>518</v>
      </c>
      <c r="C114" s="3" t="s">
        <v>25</v>
      </c>
      <c r="D114" s="23" t="s">
        <v>15</v>
      </c>
      <c r="E114" s="10" t="s">
        <v>519</v>
      </c>
      <c r="F114" s="3" t="n">
        <v>1</v>
      </c>
      <c r="G114" s="5" t="s">
        <v>1703</v>
      </c>
    </row>
    <row r="115" customFormat="false" ht="15" hidden="false" customHeight="false" outlineLevel="0" collapsed="false">
      <c r="A115" s="3" t="n">
        <v>114</v>
      </c>
      <c r="B115" s="8" t="s">
        <v>521</v>
      </c>
      <c r="C115" s="3" t="s">
        <v>29</v>
      </c>
      <c r="D115" s="23" t="s">
        <v>15</v>
      </c>
      <c r="E115" s="10" t="s">
        <v>522</v>
      </c>
      <c r="F115" s="3" t="n">
        <v>1</v>
      </c>
      <c r="G115" s="5" t="s">
        <v>1703</v>
      </c>
    </row>
    <row r="116" customFormat="false" ht="15" hidden="false" customHeight="false" outlineLevel="0" collapsed="false">
      <c r="A116" s="3" t="n">
        <v>115</v>
      </c>
      <c r="B116" s="8" t="s">
        <v>524</v>
      </c>
      <c r="C116" s="3" t="s">
        <v>25</v>
      </c>
      <c r="D116" s="23" t="s">
        <v>15</v>
      </c>
      <c r="E116" s="10" t="s">
        <v>525</v>
      </c>
      <c r="F116" s="3" t="n">
        <v>1</v>
      </c>
      <c r="G116" s="5" t="s">
        <v>1703</v>
      </c>
    </row>
    <row r="117" customFormat="false" ht="15" hidden="false" customHeight="false" outlineLevel="0" collapsed="false">
      <c r="A117" s="3" t="n">
        <v>116</v>
      </c>
      <c r="B117" s="8" t="s">
        <v>527</v>
      </c>
      <c r="C117" s="3" t="s">
        <v>25</v>
      </c>
      <c r="D117" s="23" t="s">
        <v>15</v>
      </c>
      <c r="E117" s="5" t="s">
        <v>528</v>
      </c>
      <c r="F117" s="3" t="n">
        <v>1</v>
      </c>
      <c r="G117" s="5" t="s">
        <v>1703</v>
      </c>
    </row>
    <row r="118" customFormat="false" ht="15" hidden="false" customHeight="false" outlineLevel="0" collapsed="false">
      <c r="A118" s="3" t="n">
        <v>117</v>
      </c>
      <c r="B118" s="8" t="s">
        <v>530</v>
      </c>
      <c r="C118" s="3" t="s">
        <v>125</v>
      </c>
      <c r="D118" s="23" t="s">
        <v>15</v>
      </c>
      <c r="E118" s="5" t="s">
        <v>531</v>
      </c>
      <c r="F118" s="3" t="n">
        <v>1</v>
      </c>
      <c r="G118" s="5" t="s">
        <v>1703</v>
      </c>
    </row>
    <row r="119" customFormat="false" ht="15" hidden="false" customHeight="false" outlineLevel="0" collapsed="false">
      <c r="A119" s="3" t="n">
        <v>118</v>
      </c>
      <c r="B119" s="8" t="s">
        <v>533</v>
      </c>
      <c r="C119" s="3" t="s">
        <v>25</v>
      </c>
      <c r="D119" s="23" t="s">
        <v>111</v>
      </c>
      <c r="E119" s="5" t="s">
        <v>534</v>
      </c>
      <c r="F119" s="3" t="n">
        <v>1</v>
      </c>
      <c r="G119" s="5" t="s">
        <v>1703</v>
      </c>
    </row>
    <row r="120" customFormat="false" ht="15" hidden="false" customHeight="false" outlineLevel="0" collapsed="false">
      <c r="A120" s="3" t="n">
        <v>119</v>
      </c>
      <c r="B120" s="8" t="s">
        <v>537</v>
      </c>
      <c r="C120" s="3" t="s">
        <v>538</v>
      </c>
      <c r="D120" s="23" t="s">
        <v>15</v>
      </c>
      <c r="E120" s="10" t="s">
        <v>539</v>
      </c>
      <c r="F120" s="3" t="n">
        <v>1</v>
      </c>
      <c r="G120" s="5" t="s">
        <v>1704</v>
      </c>
    </row>
    <row r="121" customFormat="false" ht="15" hidden="false" customHeight="false" outlineLevel="0" collapsed="false">
      <c r="A121" s="3" t="n">
        <v>120</v>
      </c>
      <c r="B121" s="8" t="s">
        <v>541</v>
      </c>
      <c r="C121" s="3" t="s">
        <v>53</v>
      </c>
      <c r="D121" s="23" t="s">
        <v>15</v>
      </c>
      <c r="E121" s="5" t="s">
        <v>542</v>
      </c>
      <c r="F121" s="3" t="n">
        <v>1</v>
      </c>
      <c r="G121" s="5" t="s">
        <v>1704</v>
      </c>
    </row>
    <row r="122" customFormat="false" ht="15" hidden="false" customHeight="false" outlineLevel="0" collapsed="false">
      <c r="A122" s="3" t="n">
        <v>121</v>
      </c>
      <c r="B122" s="8" t="s">
        <v>544</v>
      </c>
      <c r="C122" s="3" t="s">
        <v>53</v>
      </c>
      <c r="D122" s="23" t="s">
        <v>15</v>
      </c>
      <c r="E122" s="5" t="s">
        <v>542</v>
      </c>
      <c r="F122" s="3" t="n">
        <v>1</v>
      </c>
      <c r="G122" s="5" t="s">
        <v>1704</v>
      </c>
    </row>
    <row r="123" customFormat="false" ht="15" hidden="false" customHeight="false" outlineLevel="0" collapsed="false">
      <c r="A123" s="3" t="n">
        <v>122</v>
      </c>
      <c r="B123" s="8" t="s">
        <v>546</v>
      </c>
      <c r="C123" s="3" t="s">
        <v>53</v>
      </c>
      <c r="D123" s="23" t="s">
        <v>15</v>
      </c>
      <c r="E123" s="10" t="s">
        <v>547</v>
      </c>
      <c r="F123" s="3" t="n">
        <v>1</v>
      </c>
      <c r="G123" s="5" t="s">
        <v>1704</v>
      </c>
    </row>
    <row r="124" customFormat="false" ht="15" hidden="false" customHeight="false" outlineLevel="0" collapsed="false">
      <c r="A124" s="3" t="n">
        <v>123</v>
      </c>
      <c r="B124" s="8" t="s">
        <v>549</v>
      </c>
      <c r="C124" s="3" t="s">
        <v>25</v>
      </c>
      <c r="D124" s="23" t="s">
        <v>15</v>
      </c>
      <c r="E124" s="5" t="s">
        <v>550</v>
      </c>
      <c r="F124" s="3" t="n">
        <v>1</v>
      </c>
      <c r="G124" s="5" t="s">
        <v>1704</v>
      </c>
    </row>
    <row r="125" customFormat="false" ht="15" hidden="false" customHeight="false" outlineLevel="0" collapsed="false">
      <c r="A125" s="3" t="n">
        <v>124</v>
      </c>
      <c r="B125" s="8" t="s">
        <v>552</v>
      </c>
      <c r="C125" s="3" t="s">
        <v>53</v>
      </c>
      <c r="D125" s="23" t="s">
        <v>111</v>
      </c>
      <c r="E125" s="5" t="s">
        <v>553</v>
      </c>
      <c r="F125" s="3" t="n">
        <v>1</v>
      </c>
      <c r="G125" s="5" t="s">
        <v>1704</v>
      </c>
    </row>
    <row r="126" customFormat="false" ht="15" hidden="false" customHeight="false" outlineLevel="0" collapsed="false">
      <c r="A126" s="3" t="n">
        <v>125</v>
      </c>
      <c r="B126" s="8" t="s">
        <v>556</v>
      </c>
      <c r="C126" s="3" t="s">
        <v>57</v>
      </c>
      <c r="D126" s="23" t="s">
        <v>15</v>
      </c>
      <c r="E126" s="10" t="s">
        <v>557</v>
      </c>
      <c r="F126" s="3" t="n">
        <v>1</v>
      </c>
      <c r="G126" s="5" t="s">
        <v>1705</v>
      </c>
    </row>
    <row r="127" customFormat="false" ht="15" hidden="false" customHeight="false" outlineLevel="0" collapsed="false">
      <c r="A127" s="3" t="n">
        <v>126</v>
      </c>
      <c r="B127" s="8" t="s">
        <v>559</v>
      </c>
      <c r="C127" s="3" t="s">
        <v>57</v>
      </c>
      <c r="D127" s="23" t="s">
        <v>15</v>
      </c>
      <c r="E127" s="10" t="s">
        <v>476</v>
      </c>
      <c r="F127" s="3" t="n">
        <v>1</v>
      </c>
      <c r="G127" s="5" t="s">
        <v>1705</v>
      </c>
    </row>
    <row r="128" customFormat="false" ht="15" hidden="false" customHeight="false" outlineLevel="0" collapsed="false">
      <c r="A128" s="3" t="n">
        <v>127</v>
      </c>
      <c r="B128" s="8" t="s">
        <v>561</v>
      </c>
      <c r="C128" s="3" t="s">
        <v>142</v>
      </c>
      <c r="D128" s="23" t="s">
        <v>15</v>
      </c>
      <c r="E128" s="5" t="s">
        <v>562</v>
      </c>
      <c r="F128" s="3" t="n">
        <v>1</v>
      </c>
      <c r="G128" s="5" t="s">
        <v>1705</v>
      </c>
    </row>
    <row r="129" customFormat="false" ht="15" hidden="false" customHeight="false" outlineLevel="0" collapsed="false">
      <c r="A129" s="3" t="n">
        <v>128</v>
      </c>
      <c r="B129" s="8" t="s">
        <v>564</v>
      </c>
      <c r="C129" s="3" t="s">
        <v>57</v>
      </c>
      <c r="D129" s="23" t="s">
        <v>15</v>
      </c>
      <c r="E129" s="10" t="s">
        <v>476</v>
      </c>
      <c r="F129" s="3" t="n">
        <v>1</v>
      </c>
      <c r="G129" s="5" t="s">
        <v>1705</v>
      </c>
    </row>
    <row r="130" customFormat="false" ht="15" hidden="false" customHeight="false" outlineLevel="0" collapsed="false">
      <c r="A130" s="3" t="n">
        <v>129</v>
      </c>
      <c r="B130" s="8" t="s">
        <v>566</v>
      </c>
      <c r="C130" s="3" t="s">
        <v>29</v>
      </c>
      <c r="D130" s="23" t="s">
        <v>15</v>
      </c>
      <c r="E130" s="10" t="s">
        <v>567</v>
      </c>
      <c r="F130" s="3" t="n">
        <v>1</v>
      </c>
      <c r="G130" s="5" t="s">
        <v>1705</v>
      </c>
    </row>
    <row r="131" customFormat="false" ht="15" hidden="false" customHeight="false" outlineLevel="0" collapsed="false">
      <c r="A131" s="3" t="n">
        <v>130</v>
      </c>
      <c r="B131" s="8" t="s">
        <v>569</v>
      </c>
      <c r="C131" s="3" t="s">
        <v>125</v>
      </c>
      <c r="D131" s="23" t="s">
        <v>15</v>
      </c>
      <c r="E131" s="5" t="s">
        <v>570</v>
      </c>
      <c r="F131" s="3" t="n">
        <v>1</v>
      </c>
      <c r="G131" s="5" t="s">
        <v>1705</v>
      </c>
    </row>
    <row r="132" customFormat="false" ht="15" hidden="false" customHeight="false" outlineLevel="0" collapsed="false">
      <c r="A132" s="3" t="n">
        <v>131</v>
      </c>
      <c r="B132" s="8" t="s">
        <v>573</v>
      </c>
      <c r="C132" s="3" t="s">
        <v>125</v>
      </c>
      <c r="D132" s="23" t="s">
        <v>15</v>
      </c>
      <c r="E132" s="5" t="s">
        <v>574</v>
      </c>
      <c r="F132" s="3" t="n">
        <v>1</v>
      </c>
      <c r="G132" s="5" t="s">
        <v>1706</v>
      </c>
    </row>
    <row r="133" customFormat="false" ht="15" hidden="false" customHeight="false" outlineLevel="0" collapsed="false">
      <c r="A133" s="3" t="n">
        <v>132</v>
      </c>
      <c r="B133" s="8" t="s">
        <v>576</v>
      </c>
      <c r="C133" s="3" t="s">
        <v>53</v>
      </c>
      <c r="D133" s="23" t="s">
        <v>111</v>
      </c>
      <c r="E133" s="5" t="s">
        <v>577</v>
      </c>
      <c r="F133" s="3" t="n">
        <v>2</v>
      </c>
      <c r="G133" s="5" t="s">
        <v>1706</v>
      </c>
    </row>
    <row r="134" customFormat="false" ht="15" hidden="false" customHeight="false" outlineLevel="0" collapsed="false">
      <c r="A134" s="3" t="n">
        <v>133</v>
      </c>
      <c r="B134" s="8" t="s">
        <v>579</v>
      </c>
      <c r="C134" s="3" t="s">
        <v>80</v>
      </c>
      <c r="D134" s="23" t="s">
        <v>15</v>
      </c>
      <c r="E134" s="5" t="s">
        <v>580</v>
      </c>
      <c r="F134" s="3" t="n">
        <v>1</v>
      </c>
      <c r="G134" s="5" t="s">
        <v>1706</v>
      </c>
    </row>
    <row r="135" customFormat="false" ht="15" hidden="false" customHeight="false" outlineLevel="0" collapsed="false">
      <c r="A135" s="3" t="n">
        <v>134</v>
      </c>
      <c r="B135" s="8" t="s">
        <v>582</v>
      </c>
      <c r="C135" s="3" t="s">
        <v>108</v>
      </c>
      <c r="D135" s="23" t="s">
        <v>15</v>
      </c>
      <c r="E135" s="5" t="s">
        <v>583</v>
      </c>
      <c r="F135" s="3" t="n">
        <v>1</v>
      </c>
      <c r="G135" s="5" t="s">
        <v>1706</v>
      </c>
    </row>
    <row r="136" customFormat="false" ht="15" hidden="false" customHeight="false" outlineLevel="0" collapsed="false">
      <c r="A136" s="3" t="n">
        <v>135</v>
      </c>
      <c r="B136" s="8" t="s">
        <v>585</v>
      </c>
      <c r="C136" s="3" t="s">
        <v>142</v>
      </c>
      <c r="D136" s="23" t="s">
        <v>15</v>
      </c>
      <c r="E136" s="5" t="s">
        <v>586</v>
      </c>
      <c r="F136" s="3" t="n">
        <v>1</v>
      </c>
      <c r="G136" s="5" t="s">
        <v>1706</v>
      </c>
    </row>
    <row r="137" customFormat="false" ht="15" hidden="false" customHeight="false" outlineLevel="0" collapsed="false">
      <c r="A137" s="3" t="n">
        <v>136</v>
      </c>
      <c r="B137" s="8" t="s">
        <v>588</v>
      </c>
      <c r="C137" s="3" t="s">
        <v>108</v>
      </c>
      <c r="D137" s="23" t="s">
        <v>15</v>
      </c>
      <c r="E137" s="5" t="s">
        <v>589</v>
      </c>
      <c r="F137" s="3" t="n">
        <v>1</v>
      </c>
      <c r="G137" s="5" t="s">
        <v>1706</v>
      </c>
    </row>
    <row r="138" customFormat="false" ht="15" hidden="false" customHeight="false" outlineLevel="0" collapsed="false">
      <c r="A138" s="3" t="n">
        <v>137</v>
      </c>
      <c r="B138" s="8" t="s">
        <v>592</v>
      </c>
      <c r="C138" s="3" t="s">
        <v>17</v>
      </c>
      <c r="D138" s="23" t="s">
        <v>15</v>
      </c>
      <c r="E138" s="5" t="s">
        <v>593</v>
      </c>
      <c r="F138" s="3" t="n">
        <v>1</v>
      </c>
      <c r="G138" s="5" t="s">
        <v>1707</v>
      </c>
    </row>
    <row r="139" customFormat="false" ht="15" hidden="false" customHeight="false" outlineLevel="0" collapsed="false">
      <c r="A139" s="3" t="n">
        <v>138</v>
      </c>
      <c r="B139" s="8" t="s">
        <v>595</v>
      </c>
      <c r="C139" s="3" t="s">
        <v>142</v>
      </c>
      <c r="D139" s="23" t="s">
        <v>15</v>
      </c>
      <c r="E139" s="5" t="s">
        <v>596</v>
      </c>
      <c r="F139" s="3" t="n">
        <v>1</v>
      </c>
      <c r="G139" s="5" t="s">
        <v>1707</v>
      </c>
    </row>
    <row r="140" customFormat="false" ht="15" hidden="false" customHeight="false" outlineLevel="0" collapsed="false">
      <c r="A140" s="3" t="n">
        <v>139</v>
      </c>
      <c r="B140" s="8" t="s">
        <v>598</v>
      </c>
      <c r="C140" s="3" t="s">
        <v>25</v>
      </c>
      <c r="D140" s="23" t="s">
        <v>15</v>
      </c>
      <c r="E140" s="5" t="s">
        <v>599</v>
      </c>
      <c r="F140" s="3" t="n">
        <v>1</v>
      </c>
      <c r="G140" s="5" t="s">
        <v>1707</v>
      </c>
    </row>
    <row r="141" customFormat="false" ht="15" hidden="false" customHeight="false" outlineLevel="0" collapsed="false">
      <c r="A141" s="3" t="n">
        <v>140</v>
      </c>
      <c r="B141" s="8" t="s">
        <v>601</v>
      </c>
      <c r="C141" s="3" t="s">
        <v>17</v>
      </c>
      <c r="D141" s="23" t="s">
        <v>15</v>
      </c>
      <c r="E141" s="5" t="s">
        <v>602</v>
      </c>
      <c r="F141" s="3" t="n">
        <v>1</v>
      </c>
      <c r="G141" s="5" t="s">
        <v>1707</v>
      </c>
    </row>
    <row r="142" customFormat="false" ht="15" hidden="false" customHeight="false" outlineLevel="0" collapsed="false">
      <c r="A142" s="3" t="n">
        <v>141</v>
      </c>
      <c r="B142" s="8" t="s">
        <v>604</v>
      </c>
      <c r="C142" s="3" t="s">
        <v>142</v>
      </c>
      <c r="D142" s="23" t="s">
        <v>15</v>
      </c>
      <c r="E142" s="5" t="s">
        <v>605</v>
      </c>
      <c r="F142" s="3" t="n">
        <v>1</v>
      </c>
      <c r="G142" s="5" t="s">
        <v>1707</v>
      </c>
    </row>
    <row r="143" customFormat="false" ht="15" hidden="false" customHeight="false" outlineLevel="0" collapsed="false">
      <c r="A143" s="3" t="n">
        <v>142</v>
      </c>
      <c r="B143" s="8" t="s">
        <v>607</v>
      </c>
      <c r="C143" s="3" t="s">
        <v>21</v>
      </c>
      <c r="D143" s="23" t="s">
        <v>15</v>
      </c>
      <c r="E143" s="5" t="s">
        <v>608</v>
      </c>
      <c r="F143" s="3" t="n">
        <v>1</v>
      </c>
      <c r="G143" s="5" t="s">
        <v>1707</v>
      </c>
    </row>
    <row r="144" customFormat="false" ht="15" hidden="false" customHeight="false" outlineLevel="0" collapsed="false">
      <c r="A144" s="3" t="n">
        <v>143</v>
      </c>
      <c r="B144" s="8" t="s">
        <v>611</v>
      </c>
      <c r="C144" s="3" t="s">
        <v>29</v>
      </c>
      <c r="D144" s="23" t="s">
        <v>15</v>
      </c>
      <c r="E144" s="10" t="s">
        <v>612</v>
      </c>
      <c r="F144" s="3" t="n">
        <v>1</v>
      </c>
      <c r="G144" s="5" t="s">
        <v>1708</v>
      </c>
    </row>
    <row r="145" customFormat="false" ht="15" hidden="false" customHeight="false" outlineLevel="0" collapsed="false">
      <c r="A145" s="3" t="n">
        <v>144</v>
      </c>
      <c r="B145" s="8" t="s">
        <v>616</v>
      </c>
      <c r="C145" s="3" t="s">
        <v>57</v>
      </c>
      <c r="D145" s="23" t="s">
        <v>15</v>
      </c>
      <c r="E145" s="10" t="s">
        <v>617</v>
      </c>
      <c r="F145" s="3" t="n">
        <v>1</v>
      </c>
      <c r="G145" s="5" t="s">
        <v>1708</v>
      </c>
    </row>
    <row r="146" customFormat="false" ht="15" hidden="false" customHeight="false" outlineLevel="0" collapsed="false">
      <c r="A146" s="3" t="n">
        <v>145</v>
      </c>
      <c r="B146" s="8" t="s">
        <v>619</v>
      </c>
      <c r="C146" s="3" t="s">
        <v>80</v>
      </c>
      <c r="D146" s="23" t="s">
        <v>15</v>
      </c>
      <c r="E146" s="5" t="s">
        <v>620</v>
      </c>
      <c r="F146" s="3" t="n">
        <v>1</v>
      </c>
      <c r="G146" s="5" t="s">
        <v>1708</v>
      </c>
    </row>
    <row r="147" customFormat="false" ht="15" hidden="false" customHeight="false" outlineLevel="0" collapsed="false">
      <c r="A147" s="3" t="n">
        <v>146</v>
      </c>
      <c r="B147" s="8" t="s">
        <v>621</v>
      </c>
      <c r="C147" s="3" t="s">
        <v>80</v>
      </c>
      <c r="D147" s="23" t="s">
        <v>15</v>
      </c>
      <c r="E147" s="5" t="s">
        <v>622</v>
      </c>
      <c r="F147" s="3" t="n">
        <v>1</v>
      </c>
      <c r="G147" s="5" t="s">
        <v>1708</v>
      </c>
    </row>
    <row r="148" customFormat="false" ht="15" hidden="false" customHeight="false" outlineLevel="0" collapsed="false">
      <c r="A148" s="3" t="n">
        <v>147</v>
      </c>
      <c r="B148" s="8" t="s">
        <v>624</v>
      </c>
      <c r="C148" s="3" t="s">
        <v>57</v>
      </c>
      <c r="D148" s="23" t="s">
        <v>15</v>
      </c>
      <c r="E148" s="10" t="s">
        <v>625</v>
      </c>
      <c r="F148" s="3" t="n">
        <v>1</v>
      </c>
      <c r="G148" s="5" t="s">
        <v>1708</v>
      </c>
    </row>
    <row r="149" customFormat="false" ht="15" hidden="false" customHeight="false" outlineLevel="0" collapsed="false">
      <c r="A149" s="3" t="n">
        <v>148</v>
      </c>
      <c r="B149" s="8" t="s">
        <v>628</v>
      </c>
      <c r="C149" s="3" t="s">
        <v>331</v>
      </c>
      <c r="D149" s="23" t="s">
        <v>111</v>
      </c>
      <c r="E149" s="5" t="s">
        <v>629</v>
      </c>
      <c r="F149" s="3" t="n">
        <v>1</v>
      </c>
      <c r="G149" s="5" t="s">
        <v>1709</v>
      </c>
    </row>
    <row r="150" customFormat="false" ht="15" hidden="false" customHeight="false" outlineLevel="0" collapsed="false">
      <c r="A150" s="3" t="n">
        <v>149</v>
      </c>
      <c r="B150" s="8" t="s">
        <v>631</v>
      </c>
      <c r="C150" s="3" t="s">
        <v>53</v>
      </c>
      <c r="D150" s="23" t="s">
        <v>111</v>
      </c>
      <c r="E150" s="5" t="s">
        <v>632</v>
      </c>
      <c r="F150" s="3" t="n">
        <v>1</v>
      </c>
      <c r="G150" s="5" t="s">
        <v>1709</v>
      </c>
    </row>
    <row r="151" customFormat="false" ht="15" hidden="false" customHeight="false" outlineLevel="0" collapsed="false">
      <c r="A151" s="3" t="n">
        <v>150</v>
      </c>
      <c r="B151" s="8" t="s">
        <v>634</v>
      </c>
      <c r="C151" s="3" t="s">
        <v>331</v>
      </c>
      <c r="D151" s="23" t="s">
        <v>111</v>
      </c>
      <c r="E151" s="5" t="s">
        <v>635</v>
      </c>
      <c r="F151" s="3" t="n">
        <v>1</v>
      </c>
      <c r="G151" s="5" t="s">
        <v>1709</v>
      </c>
    </row>
    <row r="152" customFormat="false" ht="15" hidden="false" customHeight="false" outlineLevel="0" collapsed="false">
      <c r="A152" s="3" t="n">
        <v>151</v>
      </c>
      <c r="B152" s="8" t="s">
        <v>637</v>
      </c>
      <c r="C152" s="3" t="s">
        <v>57</v>
      </c>
      <c r="D152" s="23" t="s">
        <v>15</v>
      </c>
      <c r="E152" s="10" t="s">
        <v>638</v>
      </c>
      <c r="F152" s="3" t="n">
        <v>1</v>
      </c>
      <c r="G152" s="5" t="s">
        <v>1709</v>
      </c>
    </row>
    <row r="153" customFormat="false" ht="15" hidden="false" customHeight="false" outlineLevel="0" collapsed="false">
      <c r="A153" s="3" t="n">
        <v>152</v>
      </c>
      <c r="B153" s="8" t="s">
        <v>642</v>
      </c>
      <c r="C153" s="3" t="s">
        <v>29</v>
      </c>
      <c r="D153" s="23" t="s">
        <v>15</v>
      </c>
      <c r="E153" s="10" t="s">
        <v>643</v>
      </c>
      <c r="F153" s="3" t="n">
        <v>1</v>
      </c>
      <c r="G153" s="5" t="s">
        <v>1709</v>
      </c>
    </row>
    <row r="154" customFormat="false" ht="15" hidden="false" customHeight="false" outlineLevel="0" collapsed="false">
      <c r="A154" s="3" t="n">
        <v>153</v>
      </c>
      <c r="B154" s="8" t="s">
        <v>648</v>
      </c>
      <c r="C154" s="3" t="s">
        <v>21</v>
      </c>
      <c r="D154" s="23" t="s">
        <v>15</v>
      </c>
      <c r="E154" s="10" t="s">
        <v>649</v>
      </c>
      <c r="F154" s="3" t="n">
        <v>1</v>
      </c>
      <c r="G154" s="5" t="s">
        <v>1710</v>
      </c>
    </row>
    <row r="155" customFormat="false" ht="15" hidden="false" customHeight="false" outlineLevel="0" collapsed="false">
      <c r="A155" s="3" t="n">
        <v>154</v>
      </c>
      <c r="B155" s="8" t="s">
        <v>651</v>
      </c>
      <c r="C155" s="3" t="s">
        <v>652</v>
      </c>
      <c r="D155" s="23" t="s">
        <v>15</v>
      </c>
      <c r="E155" s="5" t="s">
        <v>653</v>
      </c>
      <c r="F155" s="3" t="n">
        <v>1</v>
      </c>
      <c r="G155" s="5" t="s">
        <v>1710</v>
      </c>
    </row>
    <row r="156" customFormat="false" ht="15" hidden="false" customHeight="false" outlineLevel="0" collapsed="false">
      <c r="A156" s="3" t="n">
        <v>155</v>
      </c>
      <c r="B156" s="8" t="s">
        <v>655</v>
      </c>
      <c r="C156" s="3" t="s">
        <v>652</v>
      </c>
      <c r="D156" s="23" t="s">
        <v>15</v>
      </c>
      <c r="E156" s="5" t="s">
        <v>656</v>
      </c>
      <c r="F156" s="3" t="n">
        <v>1</v>
      </c>
      <c r="G156" s="5" t="s">
        <v>1710</v>
      </c>
    </row>
    <row r="157" customFormat="false" ht="15" hidden="false" customHeight="false" outlineLevel="0" collapsed="false">
      <c r="A157" s="3" t="n">
        <v>156</v>
      </c>
      <c r="B157" s="8" t="s">
        <v>658</v>
      </c>
      <c r="C157" s="3" t="s">
        <v>21</v>
      </c>
      <c r="D157" s="23" t="s">
        <v>15</v>
      </c>
      <c r="E157" s="5" t="s">
        <v>659</v>
      </c>
      <c r="F157" s="3" t="n">
        <v>1</v>
      </c>
      <c r="G157" s="5" t="s">
        <v>1710</v>
      </c>
    </row>
    <row r="158" customFormat="false" ht="15" hidden="false" customHeight="false" outlineLevel="0" collapsed="false">
      <c r="A158" s="3" t="n">
        <v>157</v>
      </c>
      <c r="B158" s="8" t="s">
        <v>661</v>
      </c>
      <c r="C158" s="3" t="s">
        <v>65</v>
      </c>
      <c r="D158" s="23" t="s">
        <v>15</v>
      </c>
      <c r="E158" s="5" t="s">
        <v>662</v>
      </c>
      <c r="F158" s="3" t="n">
        <v>1</v>
      </c>
      <c r="G158" s="5" t="s">
        <v>1710</v>
      </c>
    </row>
    <row r="159" customFormat="false" ht="15" hidden="false" customHeight="false" outlineLevel="0" collapsed="false">
      <c r="A159" s="3" t="n">
        <v>158</v>
      </c>
      <c r="B159" s="8" t="s">
        <v>664</v>
      </c>
      <c r="C159" s="3" t="s">
        <v>57</v>
      </c>
      <c r="D159" s="23" t="s">
        <v>111</v>
      </c>
      <c r="E159" s="5" t="s">
        <v>665</v>
      </c>
      <c r="F159" s="3" t="n">
        <v>1</v>
      </c>
      <c r="G159" s="5" t="s">
        <v>1710</v>
      </c>
    </row>
    <row r="160" customFormat="false" ht="15" hidden="false" customHeight="false" outlineLevel="0" collapsed="false">
      <c r="A160" s="3" t="n">
        <v>159</v>
      </c>
      <c r="B160" s="8" t="s">
        <v>668</v>
      </c>
      <c r="C160" s="3" t="s">
        <v>29</v>
      </c>
      <c r="D160" s="23" t="s">
        <v>15</v>
      </c>
      <c r="E160" s="10" t="s">
        <v>669</v>
      </c>
      <c r="F160" s="3" t="n">
        <v>1</v>
      </c>
      <c r="G160" s="5" t="s">
        <v>1711</v>
      </c>
    </row>
    <row r="161" customFormat="false" ht="15" hidden="false" customHeight="false" outlineLevel="0" collapsed="false">
      <c r="A161" s="3" t="n">
        <v>160</v>
      </c>
      <c r="B161" s="8" t="s">
        <v>671</v>
      </c>
      <c r="C161" s="3" t="s">
        <v>80</v>
      </c>
      <c r="D161" s="23" t="s">
        <v>15</v>
      </c>
      <c r="E161" s="5" t="s">
        <v>672</v>
      </c>
      <c r="F161" s="3" t="n">
        <v>1</v>
      </c>
      <c r="G161" s="5" t="s">
        <v>1711</v>
      </c>
    </row>
    <row r="162" customFormat="false" ht="15" hidden="false" customHeight="false" outlineLevel="0" collapsed="false">
      <c r="A162" s="3" t="n">
        <v>161</v>
      </c>
      <c r="B162" s="8" t="s">
        <v>674</v>
      </c>
      <c r="C162" s="3" t="s">
        <v>57</v>
      </c>
      <c r="D162" s="23" t="s">
        <v>15</v>
      </c>
      <c r="E162" s="10" t="s">
        <v>675</v>
      </c>
      <c r="F162" s="3" t="n">
        <v>1</v>
      </c>
      <c r="G162" s="5" t="s">
        <v>1711</v>
      </c>
    </row>
    <row r="163" customFormat="false" ht="15" hidden="false" customHeight="false" outlineLevel="0" collapsed="false">
      <c r="A163" s="3" t="n">
        <v>162</v>
      </c>
      <c r="B163" s="8" t="s">
        <v>677</v>
      </c>
      <c r="C163" s="3" t="s">
        <v>76</v>
      </c>
      <c r="D163" s="23" t="s">
        <v>15</v>
      </c>
      <c r="E163" s="5" t="s">
        <v>678</v>
      </c>
      <c r="F163" s="3" t="n">
        <v>1</v>
      </c>
      <c r="G163" s="5" t="s">
        <v>1711</v>
      </c>
    </row>
    <row r="164" customFormat="false" ht="15" hidden="false" customHeight="false" outlineLevel="0" collapsed="false">
      <c r="A164" s="3" t="n">
        <v>163</v>
      </c>
      <c r="B164" s="8" t="s">
        <v>680</v>
      </c>
      <c r="C164" s="3" t="s">
        <v>681</v>
      </c>
      <c r="D164" s="23" t="s">
        <v>15</v>
      </c>
      <c r="E164" s="10" t="s">
        <v>682</v>
      </c>
      <c r="F164" s="3" t="n">
        <v>1</v>
      </c>
      <c r="G164" s="5" t="s">
        <v>1711</v>
      </c>
    </row>
    <row r="165" customFormat="false" ht="15" hidden="false" customHeight="false" outlineLevel="0" collapsed="false">
      <c r="A165" s="3" t="n">
        <v>164</v>
      </c>
      <c r="B165" s="8" t="s">
        <v>684</v>
      </c>
      <c r="C165" s="3" t="s">
        <v>25</v>
      </c>
      <c r="D165" s="23" t="s">
        <v>15</v>
      </c>
      <c r="E165" s="5" t="s">
        <v>685</v>
      </c>
      <c r="F165" s="3" t="n">
        <v>1</v>
      </c>
      <c r="G165" s="5" t="s">
        <v>1711</v>
      </c>
    </row>
    <row r="166" customFormat="false" ht="15" hidden="false" customHeight="false" outlineLevel="0" collapsed="false">
      <c r="A166" s="3" t="n">
        <v>165</v>
      </c>
      <c r="B166" s="8" t="s">
        <v>688</v>
      </c>
      <c r="C166" s="3" t="s">
        <v>689</v>
      </c>
      <c r="D166" s="23" t="s">
        <v>15</v>
      </c>
      <c r="E166" s="5" t="s">
        <v>690</v>
      </c>
      <c r="F166" s="3" t="n">
        <v>1</v>
      </c>
      <c r="G166" s="5" t="s">
        <v>1712</v>
      </c>
    </row>
    <row r="167" customFormat="false" ht="15" hidden="false" customHeight="false" outlineLevel="0" collapsed="false">
      <c r="A167" s="3" t="n">
        <v>166</v>
      </c>
      <c r="B167" s="8" t="s">
        <v>692</v>
      </c>
      <c r="C167" s="3" t="s">
        <v>57</v>
      </c>
      <c r="D167" s="23" t="s">
        <v>111</v>
      </c>
      <c r="E167" s="5" t="s">
        <v>693</v>
      </c>
      <c r="F167" s="3" t="n">
        <v>1</v>
      </c>
      <c r="G167" s="5" t="s">
        <v>1712</v>
      </c>
    </row>
    <row r="168" customFormat="false" ht="15" hidden="false" customHeight="false" outlineLevel="0" collapsed="false">
      <c r="A168" s="3" t="n">
        <v>167</v>
      </c>
      <c r="B168" s="8" t="s">
        <v>695</v>
      </c>
      <c r="C168" s="3" t="s">
        <v>689</v>
      </c>
      <c r="D168" s="23" t="s">
        <v>15</v>
      </c>
      <c r="E168" s="5" t="s">
        <v>696</v>
      </c>
      <c r="F168" s="3" t="n">
        <v>1</v>
      </c>
      <c r="G168" s="5" t="s">
        <v>1712</v>
      </c>
    </row>
    <row r="169" customFormat="false" ht="15" hidden="false" customHeight="false" outlineLevel="0" collapsed="false">
      <c r="A169" s="3" t="n">
        <v>168</v>
      </c>
      <c r="B169" s="8" t="s">
        <v>699</v>
      </c>
      <c r="C169" s="3" t="s">
        <v>142</v>
      </c>
      <c r="D169" s="23" t="s">
        <v>15</v>
      </c>
      <c r="E169" s="5" t="s">
        <v>700</v>
      </c>
      <c r="F169" s="3" t="n">
        <v>1</v>
      </c>
      <c r="G169" s="5" t="s">
        <v>1712</v>
      </c>
    </row>
    <row r="170" customFormat="false" ht="15" hidden="false" customHeight="false" outlineLevel="0" collapsed="false">
      <c r="A170" s="3" t="n">
        <v>169</v>
      </c>
      <c r="B170" s="8" t="s">
        <v>702</v>
      </c>
      <c r="C170" s="3" t="s">
        <v>57</v>
      </c>
      <c r="D170" s="23" t="s">
        <v>15</v>
      </c>
      <c r="E170" s="10" t="s">
        <v>703</v>
      </c>
      <c r="F170" s="3" t="n">
        <v>1</v>
      </c>
      <c r="G170" s="5" t="s">
        <v>1712</v>
      </c>
    </row>
    <row r="171" customFormat="false" ht="15" hidden="false" customHeight="false" outlineLevel="0" collapsed="false">
      <c r="A171" s="3" t="n">
        <v>170</v>
      </c>
      <c r="B171" s="8" t="s">
        <v>706</v>
      </c>
      <c r="C171" s="3" t="s">
        <v>29</v>
      </c>
      <c r="D171" s="23" t="s">
        <v>15</v>
      </c>
      <c r="E171" s="10" t="s">
        <v>707</v>
      </c>
      <c r="F171" s="3" t="n">
        <v>1</v>
      </c>
      <c r="G171" s="5" t="s">
        <v>1713</v>
      </c>
    </row>
    <row r="172" customFormat="false" ht="15" hidden="false" customHeight="false" outlineLevel="0" collapsed="false">
      <c r="A172" s="3" t="n">
        <v>171</v>
      </c>
      <c r="B172" s="8" t="s">
        <v>709</v>
      </c>
      <c r="C172" s="3" t="s">
        <v>29</v>
      </c>
      <c r="D172" s="23" t="s">
        <v>15</v>
      </c>
      <c r="E172" s="10" t="s">
        <v>710</v>
      </c>
      <c r="F172" s="3" t="n">
        <v>1</v>
      </c>
      <c r="G172" s="5" t="s">
        <v>1713</v>
      </c>
    </row>
    <row r="173" customFormat="false" ht="15" hidden="false" customHeight="false" outlineLevel="0" collapsed="false">
      <c r="A173" s="3" t="n">
        <v>172</v>
      </c>
      <c r="B173" s="8" t="s">
        <v>712</v>
      </c>
      <c r="C173" s="3" t="s">
        <v>53</v>
      </c>
      <c r="D173" s="23" t="s">
        <v>15</v>
      </c>
      <c r="E173" s="10" t="s">
        <v>713</v>
      </c>
      <c r="F173" s="3" t="n">
        <v>1</v>
      </c>
      <c r="G173" s="5" t="s">
        <v>1713</v>
      </c>
    </row>
    <row r="174" customFormat="false" ht="15" hidden="false" customHeight="false" outlineLevel="0" collapsed="false">
      <c r="A174" s="3" t="n">
        <v>173</v>
      </c>
      <c r="B174" s="8" t="s">
        <v>715</v>
      </c>
      <c r="C174" s="3" t="s">
        <v>57</v>
      </c>
      <c r="D174" s="23" t="s">
        <v>15</v>
      </c>
      <c r="E174" s="10" t="s">
        <v>716</v>
      </c>
      <c r="F174" s="3" t="n">
        <v>1</v>
      </c>
      <c r="G174" s="5" t="s">
        <v>1713</v>
      </c>
    </row>
    <row r="175" customFormat="false" ht="15" hidden="false" customHeight="false" outlineLevel="0" collapsed="false">
      <c r="A175" s="3" t="n">
        <v>174</v>
      </c>
      <c r="B175" s="8" t="s">
        <v>718</v>
      </c>
      <c r="C175" s="3" t="s">
        <v>57</v>
      </c>
      <c r="D175" s="23" t="s">
        <v>15</v>
      </c>
      <c r="E175" s="10" t="s">
        <v>719</v>
      </c>
      <c r="F175" s="3" t="n">
        <v>1</v>
      </c>
      <c r="G175" s="5" t="s">
        <v>1713</v>
      </c>
    </row>
    <row r="176" customFormat="false" ht="15" hidden="false" customHeight="false" outlineLevel="0" collapsed="false">
      <c r="A176" s="3" t="n">
        <v>175</v>
      </c>
      <c r="B176" s="8" t="s">
        <v>721</v>
      </c>
      <c r="C176" s="3" t="s">
        <v>363</v>
      </c>
      <c r="D176" s="23" t="s">
        <v>15</v>
      </c>
      <c r="E176" s="5" t="s">
        <v>722</v>
      </c>
      <c r="F176" s="3" t="n">
        <v>1</v>
      </c>
      <c r="G176" s="5" t="s">
        <v>1713</v>
      </c>
    </row>
    <row r="177" customFormat="false" ht="15" hidden="false" customHeight="false" outlineLevel="0" collapsed="false">
      <c r="A177" s="3" t="n">
        <v>176</v>
      </c>
      <c r="B177" s="8" t="s">
        <v>725</v>
      </c>
      <c r="C177" s="3" t="s">
        <v>21</v>
      </c>
      <c r="D177" s="23" t="s">
        <v>15</v>
      </c>
      <c r="E177" s="5" t="s">
        <v>726</v>
      </c>
      <c r="F177" s="3" t="n">
        <v>1</v>
      </c>
      <c r="G177" s="5" t="s">
        <v>1714</v>
      </c>
    </row>
    <row r="178" customFormat="false" ht="15" hidden="false" customHeight="false" outlineLevel="0" collapsed="false">
      <c r="A178" s="3" t="n">
        <v>177</v>
      </c>
      <c r="B178" s="8" t="s">
        <v>728</v>
      </c>
      <c r="C178" s="3" t="s">
        <v>65</v>
      </c>
      <c r="D178" s="23" t="s">
        <v>15</v>
      </c>
      <c r="E178" s="5" t="s">
        <v>729</v>
      </c>
      <c r="F178" s="3" t="n">
        <v>1</v>
      </c>
      <c r="G178" s="5" t="s">
        <v>1714</v>
      </c>
    </row>
    <row r="179" customFormat="false" ht="15" hidden="false" customHeight="false" outlineLevel="0" collapsed="false">
      <c r="A179" s="3" t="n">
        <v>178</v>
      </c>
      <c r="B179" s="8" t="s">
        <v>731</v>
      </c>
      <c r="C179" s="3" t="s">
        <v>25</v>
      </c>
      <c r="D179" s="23" t="s">
        <v>111</v>
      </c>
      <c r="E179" s="5" t="s">
        <v>732</v>
      </c>
      <c r="F179" s="3" t="n">
        <v>1</v>
      </c>
      <c r="G179" s="5" t="s">
        <v>1714</v>
      </c>
    </row>
    <row r="180" customFormat="false" ht="15" hidden="false" customHeight="false" outlineLevel="0" collapsed="false">
      <c r="A180" s="3" t="n">
        <v>179</v>
      </c>
      <c r="B180" s="8" t="s">
        <v>734</v>
      </c>
      <c r="C180" s="3" t="s">
        <v>57</v>
      </c>
      <c r="D180" s="23" t="s">
        <v>15</v>
      </c>
      <c r="E180" s="10" t="s">
        <v>735</v>
      </c>
      <c r="F180" s="3" t="n">
        <v>1</v>
      </c>
      <c r="G180" s="5" t="s">
        <v>1714</v>
      </c>
    </row>
    <row r="181" customFormat="false" ht="15" hidden="false" customHeight="false" outlineLevel="0" collapsed="false">
      <c r="A181" s="3" t="n">
        <v>180</v>
      </c>
      <c r="B181" s="8" t="s">
        <v>737</v>
      </c>
      <c r="C181" s="3" t="s">
        <v>29</v>
      </c>
      <c r="D181" s="23" t="s">
        <v>15</v>
      </c>
      <c r="E181" s="5" t="s">
        <v>738</v>
      </c>
      <c r="F181" s="3" t="n">
        <v>1</v>
      </c>
      <c r="G181" s="5" t="s">
        <v>1714</v>
      </c>
    </row>
    <row r="182" customFormat="false" ht="15" hidden="false" customHeight="false" outlineLevel="0" collapsed="false">
      <c r="A182" s="3" t="n">
        <v>181</v>
      </c>
      <c r="B182" s="8" t="s">
        <v>740</v>
      </c>
      <c r="C182" s="3" t="s">
        <v>29</v>
      </c>
      <c r="D182" s="23" t="s">
        <v>15</v>
      </c>
      <c r="E182" s="5" t="s">
        <v>741</v>
      </c>
      <c r="F182" s="3" t="n">
        <v>1</v>
      </c>
      <c r="G182" s="5" t="s">
        <v>1714</v>
      </c>
    </row>
    <row r="183" customFormat="false" ht="15" hidden="false" customHeight="false" outlineLevel="0" collapsed="false">
      <c r="A183" s="3" t="n">
        <v>182</v>
      </c>
      <c r="B183" s="8" t="s">
        <v>744</v>
      </c>
      <c r="C183" s="3" t="s">
        <v>45</v>
      </c>
      <c r="D183" s="23" t="s">
        <v>15</v>
      </c>
      <c r="E183" s="10" t="s">
        <v>745</v>
      </c>
      <c r="F183" s="3" t="n">
        <v>2</v>
      </c>
      <c r="G183" s="5" t="s">
        <v>1715</v>
      </c>
    </row>
    <row r="184" customFormat="false" ht="15" hidden="false" customHeight="false" outlineLevel="0" collapsed="false">
      <c r="A184" s="3" t="n">
        <v>183</v>
      </c>
      <c r="B184" s="8" t="s">
        <v>747</v>
      </c>
      <c r="C184" s="3" t="s">
        <v>80</v>
      </c>
      <c r="D184" s="23" t="s">
        <v>15</v>
      </c>
      <c r="E184" s="5" t="s">
        <v>748</v>
      </c>
      <c r="F184" s="3" t="n">
        <v>1</v>
      </c>
      <c r="G184" s="5" t="s">
        <v>1715</v>
      </c>
    </row>
    <row r="185" customFormat="false" ht="15" hidden="false" customHeight="false" outlineLevel="0" collapsed="false">
      <c r="A185" s="3" t="n">
        <v>184</v>
      </c>
      <c r="B185" s="8" t="s">
        <v>750</v>
      </c>
      <c r="C185" s="3" t="s">
        <v>25</v>
      </c>
      <c r="D185" s="23" t="s">
        <v>15</v>
      </c>
      <c r="E185" s="5" t="s">
        <v>751</v>
      </c>
      <c r="F185" s="3" t="n">
        <v>2</v>
      </c>
      <c r="G185" s="5" t="s">
        <v>1715</v>
      </c>
    </row>
    <row r="186" customFormat="false" ht="15" hidden="false" customHeight="false" outlineLevel="0" collapsed="false">
      <c r="A186" s="3" t="n">
        <v>185</v>
      </c>
      <c r="B186" s="8" t="s">
        <v>753</v>
      </c>
      <c r="C186" s="3" t="s">
        <v>57</v>
      </c>
      <c r="D186" s="23" t="s">
        <v>15</v>
      </c>
      <c r="E186" s="10" t="s">
        <v>754</v>
      </c>
      <c r="F186" s="3" t="n">
        <v>1</v>
      </c>
      <c r="G186" s="5" t="s">
        <v>1715</v>
      </c>
    </row>
    <row r="187" customFormat="false" ht="15" hidden="false" customHeight="false" outlineLevel="0" collapsed="false">
      <c r="A187" s="3" t="n">
        <v>186</v>
      </c>
      <c r="B187" s="8" t="s">
        <v>756</v>
      </c>
      <c r="C187" s="3" t="s">
        <v>29</v>
      </c>
      <c r="D187" s="23" t="s">
        <v>15</v>
      </c>
      <c r="E187" s="10" t="s">
        <v>757</v>
      </c>
      <c r="F187" s="3" t="n">
        <v>1</v>
      </c>
      <c r="G187" s="5" t="s">
        <v>1715</v>
      </c>
    </row>
    <row r="188" customFormat="false" ht="15" hidden="false" customHeight="false" outlineLevel="0" collapsed="false">
      <c r="A188" s="3" t="n">
        <v>187</v>
      </c>
      <c r="B188" s="8" t="s">
        <v>759</v>
      </c>
      <c r="C188" s="3" t="s">
        <v>29</v>
      </c>
      <c r="D188" s="23" t="s">
        <v>15</v>
      </c>
      <c r="E188" s="10" t="s">
        <v>760</v>
      </c>
      <c r="F188" s="3" t="n">
        <v>1</v>
      </c>
      <c r="G188" s="5" t="s">
        <v>1715</v>
      </c>
    </row>
    <row r="189" customFormat="false" ht="15" hidden="false" customHeight="false" outlineLevel="0" collapsed="false">
      <c r="A189" s="3" t="n">
        <v>188</v>
      </c>
      <c r="B189" s="8" t="s">
        <v>763</v>
      </c>
      <c r="C189" s="3" t="s">
        <v>57</v>
      </c>
      <c r="D189" s="23" t="s">
        <v>15</v>
      </c>
      <c r="E189" s="10" t="s">
        <v>764</v>
      </c>
      <c r="F189" s="3" t="n">
        <v>1</v>
      </c>
      <c r="G189" s="5" t="s">
        <v>1716</v>
      </c>
    </row>
    <row r="190" customFormat="false" ht="15" hidden="false" customHeight="false" outlineLevel="0" collapsed="false">
      <c r="A190" s="3" t="n">
        <v>189</v>
      </c>
      <c r="B190" s="8" t="s">
        <v>766</v>
      </c>
      <c r="C190" s="3" t="s">
        <v>57</v>
      </c>
      <c r="D190" s="23" t="s">
        <v>15</v>
      </c>
      <c r="E190" s="10" t="s">
        <v>767</v>
      </c>
      <c r="F190" s="3" t="n">
        <v>1</v>
      </c>
      <c r="G190" s="5" t="s">
        <v>1716</v>
      </c>
    </row>
    <row r="191" customFormat="false" ht="15" hidden="false" customHeight="false" outlineLevel="0" collapsed="false">
      <c r="A191" s="3" t="n">
        <v>190</v>
      </c>
      <c r="B191" s="8" t="s">
        <v>769</v>
      </c>
      <c r="C191" s="3" t="s">
        <v>57</v>
      </c>
      <c r="D191" s="23" t="s">
        <v>15</v>
      </c>
      <c r="E191" s="10" t="s">
        <v>770</v>
      </c>
      <c r="F191" s="3" t="n">
        <v>1</v>
      </c>
      <c r="G191" s="5" t="s">
        <v>1716</v>
      </c>
    </row>
    <row r="192" customFormat="false" ht="15" hidden="false" customHeight="false" outlineLevel="0" collapsed="false">
      <c r="A192" s="3" t="n">
        <v>191</v>
      </c>
      <c r="B192" s="8" t="s">
        <v>772</v>
      </c>
      <c r="C192" s="3" t="s">
        <v>57</v>
      </c>
      <c r="D192" s="23" t="s">
        <v>15</v>
      </c>
      <c r="E192" s="10" t="s">
        <v>773</v>
      </c>
      <c r="F192" s="3" t="n">
        <v>1</v>
      </c>
      <c r="G192" s="5" t="s">
        <v>1716</v>
      </c>
    </row>
    <row r="193" customFormat="false" ht="15" hidden="false" customHeight="false" outlineLevel="0" collapsed="false">
      <c r="A193" s="3" t="n">
        <v>192</v>
      </c>
      <c r="B193" s="8" t="s">
        <v>775</v>
      </c>
      <c r="C193" s="3" t="s">
        <v>125</v>
      </c>
      <c r="D193" s="23" t="s">
        <v>15</v>
      </c>
      <c r="E193" s="5" t="s">
        <v>776</v>
      </c>
      <c r="F193" s="3" t="n">
        <v>1</v>
      </c>
      <c r="G193" s="5" t="s">
        <v>1716</v>
      </c>
    </row>
    <row r="194" customFormat="false" ht="15" hidden="false" customHeight="false" outlineLevel="0" collapsed="false">
      <c r="A194" s="3" t="n">
        <v>193</v>
      </c>
      <c r="B194" s="8" t="s">
        <v>778</v>
      </c>
      <c r="C194" s="3" t="s">
        <v>125</v>
      </c>
      <c r="D194" s="23" t="s">
        <v>15</v>
      </c>
      <c r="E194" s="5" t="s">
        <v>779</v>
      </c>
      <c r="F194" s="3" t="n">
        <v>1</v>
      </c>
      <c r="G194" s="5" t="s">
        <v>1716</v>
      </c>
    </row>
    <row r="195" customFormat="false" ht="15" hidden="false" customHeight="false" outlineLevel="0" collapsed="false">
      <c r="A195" s="3" t="n">
        <v>194</v>
      </c>
      <c r="B195" s="8" t="s">
        <v>782</v>
      </c>
      <c r="C195" s="3" t="s">
        <v>142</v>
      </c>
      <c r="D195" s="23" t="s">
        <v>15</v>
      </c>
      <c r="E195" s="5" t="s">
        <v>783</v>
      </c>
      <c r="F195" s="3" t="n">
        <v>1</v>
      </c>
      <c r="G195" s="10" t="s">
        <v>1717</v>
      </c>
    </row>
    <row r="196" customFormat="false" ht="15" hidden="false" customHeight="false" outlineLevel="0" collapsed="false">
      <c r="A196" s="3" t="n">
        <v>195</v>
      </c>
      <c r="B196" s="8" t="s">
        <v>790</v>
      </c>
      <c r="C196" s="3" t="s">
        <v>142</v>
      </c>
      <c r="D196" s="23" t="s">
        <v>15</v>
      </c>
      <c r="E196" s="5" t="s">
        <v>791</v>
      </c>
      <c r="F196" s="3" t="n">
        <v>1</v>
      </c>
      <c r="G196" s="10" t="s">
        <v>1717</v>
      </c>
    </row>
    <row r="197" customFormat="false" ht="15" hidden="false" customHeight="false" outlineLevel="0" collapsed="false">
      <c r="A197" s="3" t="n">
        <v>196</v>
      </c>
      <c r="B197" s="8" t="s">
        <v>793</v>
      </c>
      <c r="C197" s="3" t="s">
        <v>80</v>
      </c>
      <c r="D197" s="23" t="s">
        <v>15</v>
      </c>
      <c r="E197" s="5" t="s">
        <v>794</v>
      </c>
      <c r="F197" s="3" t="n">
        <v>1</v>
      </c>
      <c r="G197" s="10" t="s">
        <v>1717</v>
      </c>
    </row>
    <row r="198" customFormat="false" ht="15" hidden="false" customHeight="false" outlineLevel="0" collapsed="false">
      <c r="A198" s="3" t="n">
        <v>197</v>
      </c>
      <c r="B198" s="8" t="s">
        <v>801</v>
      </c>
      <c r="C198" s="3" t="s">
        <v>80</v>
      </c>
      <c r="D198" s="23" t="s">
        <v>15</v>
      </c>
      <c r="E198" s="10" t="s">
        <v>802</v>
      </c>
      <c r="F198" s="3" t="n">
        <v>1</v>
      </c>
      <c r="G198" s="5" t="s">
        <v>1718</v>
      </c>
    </row>
    <row r="199" customFormat="false" ht="15" hidden="false" customHeight="false" outlineLevel="0" collapsed="false">
      <c r="A199" s="3" t="n">
        <v>198</v>
      </c>
      <c r="B199" s="8" t="s">
        <v>804</v>
      </c>
      <c r="C199" s="3" t="s">
        <v>29</v>
      </c>
      <c r="D199" s="23" t="s">
        <v>15</v>
      </c>
      <c r="E199" s="10" t="s">
        <v>805</v>
      </c>
      <c r="F199" s="3" t="n">
        <v>1</v>
      </c>
      <c r="G199" s="5" t="s">
        <v>1718</v>
      </c>
    </row>
    <row r="200" customFormat="false" ht="15" hidden="false" customHeight="false" outlineLevel="0" collapsed="false">
      <c r="A200" s="3" t="n">
        <v>199</v>
      </c>
      <c r="B200" s="8" t="s">
        <v>807</v>
      </c>
      <c r="C200" s="3" t="s">
        <v>29</v>
      </c>
      <c r="D200" s="23" t="s">
        <v>15</v>
      </c>
      <c r="E200" s="10" t="s">
        <v>808</v>
      </c>
      <c r="F200" s="3" t="n">
        <v>1</v>
      </c>
      <c r="G200" s="5" t="s">
        <v>1718</v>
      </c>
    </row>
    <row r="201" customFormat="false" ht="15" hidden="false" customHeight="false" outlineLevel="0" collapsed="false">
      <c r="A201" s="3" t="n">
        <v>200</v>
      </c>
      <c r="B201" s="8" t="s">
        <v>810</v>
      </c>
      <c r="C201" s="3" t="s">
        <v>57</v>
      </c>
      <c r="D201" s="23" t="s">
        <v>111</v>
      </c>
      <c r="E201" s="5" t="s">
        <v>811</v>
      </c>
      <c r="F201" s="3" t="n">
        <v>1</v>
      </c>
      <c r="G201" s="5" t="s">
        <v>1718</v>
      </c>
    </row>
    <row r="202" customFormat="false" ht="15" hidden="false" customHeight="false" outlineLevel="0" collapsed="false">
      <c r="A202" s="3" t="n">
        <v>201</v>
      </c>
      <c r="B202" s="8" t="s">
        <v>813</v>
      </c>
      <c r="C202" s="3" t="s">
        <v>53</v>
      </c>
      <c r="D202" s="23" t="s">
        <v>15</v>
      </c>
      <c r="E202" s="5" t="s">
        <v>814</v>
      </c>
      <c r="F202" s="3" t="n">
        <v>1</v>
      </c>
      <c r="G202" s="5" t="s">
        <v>1718</v>
      </c>
    </row>
    <row r="203" customFormat="false" ht="15" hidden="false" customHeight="false" outlineLevel="0" collapsed="false">
      <c r="A203" s="3" t="n">
        <v>202</v>
      </c>
      <c r="B203" s="8" t="s">
        <v>816</v>
      </c>
      <c r="C203" s="3" t="s">
        <v>125</v>
      </c>
      <c r="D203" s="23" t="s">
        <v>15</v>
      </c>
      <c r="E203" s="5" t="s">
        <v>817</v>
      </c>
      <c r="F203" s="3" t="n">
        <v>1</v>
      </c>
      <c r="G203" s="5" t="s">
        <v>1718</v>
      </c>
    </row>
    <row r="204" customFormat="false" ht="15" hidden="false" customHeight="false" outlineLevel="0" collapsed="false">
      <c r="A204" s="3" t="n">
        <v>203</v>
      </c>
      <c r="B204" s="8" t="s">
        <v>838</v>
      </c>
      <c r="C204" s="3" t="s">
        <v>125</v>
      </c>
      <c r="D204" s="23" t="s">
        <v>15</v>
      </c>
      <c r="E204" s="5" t="s">
        <v>839</v>
      </c>
      <c r="F204" s="3" t="n">
        <v>1</v>
      </c>
      <c r="G204" s="5" t="s">
        <v>1719</v>
      </c>
    </row>
    <row r="205" customFormat="false" ht="15" hidden="false" customHeight="false" outlineLevel="0" collapsed="false">
      <c r="A205" s="3" t="n">
        <v>204</v>
      </c>
      <c r="B205" s="8" t="s">
        <v>843</v>
      </c>
      <c r="C205" s="3" t="s">
        <v>53</v>
      </c>
      <c r="D205" s="23" t="s">
        <v>111</v>
      </c>
      <c r="E205" s="5" t="s">
        <v>844</v>
      </c>
      <c r="F205" s="3" t="n">
        <v>1</v>
      </c>
      <c r="G205" s="5" t="s">
        <v>1719</v>
      </c>
    </row>
    <row r="206" customFormat="false" ht="15" hidden="false" customHeight="false" outlineLevel="0" collapsed="false">
      <c r="A206" s="3" t="n">
        <v>205</v>
      </c>
      <c r="B206" s="8" t="s">
        <v>846</v>
      </c>
      <c r="C206" s="3" t="s">
        <v>21</v>
      </c>
      <c r="D206" s="23" t="s">
        <v>111</v>
      </c>
      <c r="E206" s="5" t="s">
        <v>847</v>
      </c>
      <c r="F206" s="3" t="n">
        <v>1</v>
      </c>
      <c r="G206" s="5" t="s">
        <v>1719</v>
      </c>
    </row>
    <row r="207" customFormat="false" ht="15" hidden="false" customHeight="false" outlineLevel="0" collapsed="false">
      <c r="A207" s="3" t="n">
        <v>206</v>
      </c>
      <c r="B207" s="8" t="s">
        <v>849</v>
      </c>
      <c r="C207" s="3" t="s">
        <v>21</v>
      </c>
      <c r="D207" s="23" t="s">
        <v>111</v>
      </c>
      <c r="E207" s="10" t="s">
        <v>850</v>
      </c>
      <c r="F207" s="3" t="n">
        <v>1</v>
      </c>
      <c r="G207" s="5" t="s">
        <v>1719</v>
      </c>
    </row>
    <row r="208" customFormat="false" ht="15" hidden="false" customHeight="false" outlineLevel="0" collapsed="false">
      <c r="A208" s="3" t="n">
        <v>207</v>
      </c>
      <c r="B208" s="8" t="s">
        <v>852</v>
      </c>
      <c r="C208" s="3" t="s">
        <v>57</v>
      </c>
      <c r="D208" s="23" t="s">
        <v>111</v>
      </c>
      <c r="E208" s="5" t="s">
        <v>853</v>
      </c>
      <c r="F208" s="3" t="n">
        <v>1</v>
      </c>
      <c r="G208" s="5" t="s">
        <v>1719</v>
      </c>
    </row>
    <row r="209" customFormat="false" ht="15" hidden="false" customHeight="false" outlineLevel="0" collapsed="false">
      <c r="A209" s="3" t="n">
        <v>208</v>
      </c>
      <c r="B209" s="8" t="s">
        <v>856</v>
      </c>
      <c r="C209" s="3" t="s">
        <v>331</v>
      </c>
      <c r="D209" s="23" t="s">
        <v>111</v>
      </c>
      <c r="E209" s="5" t="s">
        <v>857</v>
      </c>
      <c r="F209" s="3" t="n">
        <v>1</v>
      </c>
      <c r="G209" s="5" t="s">
        <v>1720</v>
      </c>
    </row>
    <row r="210" customFormat="false" ht="15" hidden="false" customHeight="false" outlineLevel="0" collapsed="false">
      <c r="A210" s="3" t="n">
        <v>209</v>
      </c>
      <c r="B210" s="8" t="s">
        <v>859</v>
      </c>
      <c r="C210" s="3" t="s">
        <v>331</v>
      </c>
      <c r="D210" s="23" t="s">
        <v>111</v>
      </c>
      <c r="E210" s="5" t="s">
        <v>860</v>
      </c>
      <c r="F210" s="3" t="n">
        <v>1</v>
      </c>
      <c r="G210" s="5" t="s">
        <v>1720</v>
      </c>
    </row>
    <row r="211" customFormat="false" ht="15" hidden="false" customHeight="false" outlineLevel="0" collapsed="false">
      <c r="A211" s="3" t="n">
        <v>210</v>
      </c>
      <c r="B211" s="8" t="s">
        <v>862</v>
      </c>
      <c r="C211" s="3" t="s">
        <v>460</v>
      </c>
      <c r="D211" s="23" t="s">
        <v>111</v>
      </c>
      <c r="E211" s="5" t="s">
        <v>863</v>
      </c>
      <c r="F211" s="3" t="n">
        <v>1</v>
      </c>
      <c r="G211" s="5" t="s">
        <v>1720</v>
      </c>
    </row>
    <row r="212" customFormat="false" ht="15" hidden="false" customHeight="false" outlineLevel="0" collapsed="false">
      <c r="A212" s="3" t="n">
        <v>211</v>
      </c>
      <c r="B212" s="8" t="s">
        <v>864</v>
      </c>
      <c r="C212" s="3" t="s">
        <v>331</v>
      </c>
      <c r="D212" s="23" t="s">
        <v>111</v>
      </c>
      <c r="E212" s="5" t="s">
        <v>865</v>
      </c>
      <c r="F212" s="3" t="n">
        <v>1</v>
      </c>
      <c r="G212" s="5" t="s">
        <v>1720</v>
      </c>
    </row>
    <row r="213" customFormat="false" ht="15" hidden="false" customHeight="false" outlineLevel="0" collapsed="false">
      <c r="A213" s="3" t="n">
        <v>212</v>
      </c>
      <c r="B213" s="8" t="s">
        <v>867</v>
      </c>
      <c r="C213" s="3" t="s">
        <v>331</v>
      </c>
      <c r="D213" s="23" t="s">
        <v>111</v>
      </c>
      <c r="E213" s="5" t="s">
        <v>868</v>
      </c>
      <c r="F213" s="3" t="n">
        <v>1</v>
      </c>
      <c r="G213" s="5" t="s">
        <v>1720</v>
      </c>
    </row>
    <row r="214" customFormat="false" ht="15" hidden="false" customHeight="false" outlineLevel="0" collapsed="false">
      <c r="A214" s="3" t="n">
        <v>213</v>
      </c>
      <c r="B214" s="8" t="s">
        <v>870</v>
      </c>
      <c r="C214" s="3" t="s">
        <v>871</v>
      </c>
      <c r="D214" s="23" t="s">
        <v>111</v>
      </c>
      <c r="E214" s="5" t="s">
        <v>872</v>
      </c>
      <c r="F214" s="3" t="n">
        <v>1</v>
      </c>
      <c r="G214" s="5" t="s">
        <v>1720</v>
      </c>
    </row>
    <row r="215" customFormat="false" ht="15" hidden="false" customHeight="false" outlineLevel="0" collapsed="false">
      <c r="A215" s="3" t="n">
        <v>214</v>
      </c>
      <c r="B215" s="8" t="s">
        <v>875</v>
      </c>
      <c r="C215" s="3" t="s">
        <v>57</v>
      </c>
      <c r="D215" s="23" t="s">
        <v>15</v>
      </c>
      <c r="E215" s="10" t="s">
        <v>177</v>
      </c>
      <c r="F215" s="3" t="n">
        <v>1</v>
      </c>
      <c r="G215" s="5" t="s">
        <v>1721</v>
      </c>
    </row>
    <row r="216" customFormat="false" ht="15" hidden="false" customHeight="false" outlineLevel="0" collapsed="false">
      <c r="A216" s="3" t="n">
        <v>215</v>
      </c>
      <c r="B216" s="8" t="s">
        <v>877</v>
      </c>
      <c r="C216" s="3" t="s">
        <v>57</v>
      </c>
      <c r="D216" s="23" t="s">
        <v>15</v>
      </c>
      <c r="E216" s="10" t="s">
        <v>878</v>
      </c>
      <c r="F216" s="3" t="n">
        <v>2</v>
      </c>
      <c r="G216" s="5" t="s">
        <v>1721</v>
      </c>
    </row>
    <row r="217" customFormat="false" ht="15" hidden="false" customHeight="false" outlineLevel="0" collapsed="false">
      <c r="A217" s="3" t="n">
        <v>216</v>
      </c>
      <c r="B217" s="8" t="s">
        <v>880</v>
      </c>
      <c r="C217" s="3" t="s">
        <v>29</v>
      </c>
      <c r="D217" s="23" t="s">
        <v>15</v>
      </c>
      <c r="E217" s="10" t="s">
        <v>881</v>
      </c>
      <c r="F217" s="3" t="n">
        <v>1</v>
      </c>
      <c r="G217" s="5" t="s">
        <v>1721</v>
      </c>
    </row>
    <row r="218" customFormat="false" ht="15" hidden="false" customHeight="false" outlineLevel="0" collapsed="false">
      <c r="A218" s="3" t="n">
        <v>217</v>
      </c>
      <c r="B218" s="8" t="s">
        <v>883</v>
      </c>
      <c r="C218" s="3" t="s">
        <v>871</v>
      </c>
      <c r="D218" s="23" t="s">
        <v>15</v>
      </c>
      <c r="E218" s="5" t="s">
        <v>884</v>
      </c>
      <c r="F218" s="3" t="n">
        <v>1</v>
      </c>
      <c r="G218" s="5" t="s">
        <v>1721</v>
      </c>
    </row>
    <row r="219" customFormat="false" ht="15" hidden="false" customHeight="false" outlineLevel="0" collapsed="false">
      <c r="A219" s="3" t="n">
        <v>218</v>
      </c>
      <c r="B219" s="8" t="s">
        <v>888</v>
      </c>
      <c r="C219" s="3" t="s">
        <v>57</v>
      </c>
      <c r="D219" s="23" t="s">
        <v>15</v>
      </c>
      <c r="E219" s="10" t="s">
        <v>889</v>
      </c>
      <c r="F219" s="3" t="n">
        <v>1</v>
      </c>
      <c r="G219" s="5" t="s">
        <v>1721</v>
      </c>
    </row>
    <row r="220" customFormat="false" ht="15" hidden="false" customHeight="false" outlineLevel="0" collapsed="false">
      <c r="A220" s="3" t="n">
        <v>219</v>
      </c>
      <c r="B220" s="8" t="s">
        <v>902</v>
      </c>
      <c r="C220" s="3" t="s">
        <v>21</v>
      </c>
      <c r="D220" s="23" t="s">
        <v>15</v>
      </c>
      <c r="E220" s="5" t="s">
        <v>903</v>
      </c>
      <c r="F220" s="3" t="n">
        <v>1</v>
      </c>
      <c r="G220" s="5" t="s">
        <v>1722</v>
      </c>
    </row>
    <row r="221" customFormat="false" ht="15" hidden="false" customHeight="false" outlineLevel="0" collapsed="false">
      <c r="A221" s="3" t="n">
        <v>220</v>
      </c>
      <c r="B221" s="8" t="s">
        <v>907</v>
      </c>
      <c r="C221" s="3" t="s">
        <v>53</v>
      </c>
      <c r="D221" s="23" t="s">
        <v>15</v>
      </c>
      <c r="E221" s="5" t="s">
        <v>908</v>
      </c>
      <c r="F221" s="3" t="n">
        <v>1</v>
      </c>
      <c r="G221" s="5" t="s">
        <v>1723</v>
      </c>
    </row>
    <row r="222" customFormat="false" ht="15" hidden="false" customHeight="false" outlineLevel="0" collapsed="false">
      <c r="A222" s="3" t="n">
        <v>221</v>
      </c>
      <c r="B222" s="8" t="s">
        <v>910</v>
      </c>
      <c r="C222" s="3" t="s">
        <v>21</v>
      </c>
      <c r="D222" s="23" t="s">
        <v>15</v>
      </c>
      <c r="E222" s="5" t="s">
        <v>911</v>
      </c>
      <c r="F222" s="3" t="n">
        <v>1</v>
      </c>
      <c r="G222" s="5" t="s">
        <v>1723</v>
      </c>
    </row>
    <row r="223" customFormat="false" ht="15" hidden="false" customHeight="false" outlineLevel="0" collapsed="false">
      <c r="A223" s="3" t="n">
        <v>222</v>
      </c>
      <c r="B223" s="8" t="s">
        <v>913</v>
      </c>
      <c r="C223" s="3" t="s">
        <v>142</v>
      </c>
      <c r="D223" s="23" t="s">
        <v>15</v>
      </c>
      <c r="E223" s="5" t="s">
        <v>914</v>
      </c>
      <c r="F223" s="3" t="n">
        <v>1</v>
      </c>
      <c r="G223" s="5" t="s">
        <v>1723</v>
      </c>
    </row>
    <row r="224" customFormat="false" ht="15" hidden="false" customHeight="false" outlineLevel="0" collapsed="false">
      <c r="A224" s="3" t="n">
        <v>223</v>
      </c>
      <c r="B224" s="8" t="s">
        <v>918</v>
      </c>
      <c r="C224" s="3" t="s">
        <v>460</v>
      </c>
      <c r="D224" s="23" t="s">
        <v>111</v>
      </c>
      <c r="E224" s="5" t="s">
        <v>919</v>
      </c>
      <c r="F224" s="3" t="n">
        <v>1</v>
      </c>
      <c r="G224" s="5" t="s">
        <v>1723</v>
      </c>
    </row>
    <row r="225" customFormat="false" ht="15" hidden="false" customHeight="false" outlineLevel="0" collapsed="false">
      <c r="A225" s="3" t="n">
        <v>224</v>
      </c>
      <c r="B225" s="8" t="s">
        <v>922</v>
      </c>
      <c r="C225" s="3" t="s">
        <v>80</v>
      </c>
      <c r="D225" s="23" t="s">
        <v>15</v>
      </c>
      <c r="E225" s="5" t="s">
        <v>923</v>
      </c>
      <c r="F225" s="3" t="n">
        <v>1</v>
      </c>
      <c r="G225" s="5" t="s">
        <v>1724</v>
      </c>
    </row>
    <row r="226" customFormat="false" ht="15" hidden="false" customHeight="false" outlineLevel="0" collapsed="false">
      <c r="A226" s="3" t="n">
        <v>225</v>
      </c>
      <c r="B226" s="8" t="s">
        <v>927</v>
      </c>
      <c r="C226" s="3" t="s">
        <v>21</v>
      </c>
      <c r="D226" s="23" t="s">
        <v>15</v>
      </c>
      <c r="E226" s="5" t="s">
        <v>928</v>
      </c>
      <c r="F226" s="3" t="n">
        <v>1</v>
      </c>
      <c r="G226" s="5" t="s">
        <v>1724</v>
      </c>
    </row>
    <row r="227" customFormat="false" ht="15" hidden="false" customHeight="false" outlineLevel="0" collapsed="false">
      <c r="A227" s="3" t="n">
        <v>226</v>
      </c>
      <c r="B227" s="8" t="s">
        <v>932</v>
      </c>
      <c r="C227" s="3" t="s">
        <v>142</v>
      </c>
      <c r="D227" s="23" t="s">
        <v>15</v>
      </c>
      <c r="E227" s="5" t="s">
        <v>933</v>
      </c>
      <c r="F227" s="3" t="n">
        <v>1</v>
      </c>
      <c r="G227" s="5" t="s">
        <v>1724</v>
      </c>
    </row>
    <row r="228" customFormat="false" ht="15" hidden="false" customHeight="false" outlineLevel="0" collapsed="false">
      <c r="A228" s="3" t="n">
        <v>227</v>
      </c>
      <c r="B228" s="8" t="s">
        <v>940</v>
      </c>
      <c r="C228" s="3" t="s">
        <v>460</v>
      </c>
      <c r="D228" s="23" t="s">
        <v>111</v>
      </c>
      <c r="E228" s="5" t="s">
        <v>941</v>
      </c>
      <c r="F228" s="3" t="n">
        <v>1</v>
      </c>
      <c r="G228" s="5" t="s">
        <v>1725</v>
      </c>
    </row>
    <row r="229" customFormat="false" ht="15" hidden="false" customHeight="false" outlineLevel="0" collapsed="false">
      <c r="A229" s="3" t="n">
        <v>228</v>
      </c>
      <c r="B229" s="8" t="s">
        <v>943</v>
      </c>
      <c r="C229" s="3" t="s">
        <v>142</v>
      </c>
      <c r="D229" s="23" t="s">
        <v>111</v>
      </c>
      <c r="E229" s="5" t="s">
        <v>944</v>
      </c>
      <c r="F229" s="3" t="n">
        <v>1</v>
      </c>
      <c r="G229" s="5" t="s">
        <v>1725</v>
      </c>
    </row>
    <row r="230" customFormat="false" ht="15" hidden="false" customHeight="false" outlineLevel="0" collapsed="false">
      <c r="A230" s="3" t="n">
        <v>229</v>
      </c>
      <c r="B230" s="8" t="s">
        <v>946</v>
      </c>
      <c r="C230" s="3" t="s">
        <v>142</v>
      </c>
      <c r="D230" s="23" t="s">
        <v>111</v>
      </c>
      <c r="E230" s="5" t="s">
        <v>947</v>
      </c>
      <c r="F230" s="3" t="n">
        <v>1</v>
      </c>
      <c r="G230" s="5" t="s">
        <v>1725</v>
      </c>
    </row>
    <row r="231" customFormat="false" ht="15" hidden="false" customHeight="false" outlineLevel="0" collapsed="false">
      <c r="A231" s="3" t="n">
        <v>230</v>
      </c>
      <c r="B231" s="8" t="s">
        <v>949</v>
      </c>
      <c r="C231" s="3" t="s">
        <v>309</v>
      </c>
      <c r="D231" s="23" t="s">
        <v>111</v>
      </c>
      <c r="E231" s="5" t="s">
        <v>950</v>
      </c>
      <c r="F231" s="3" t="n">
        <v>1</v>
      </c>
      <c r="G231" s="5" t="s">
        <v>1725</v>
      </c>
    </row>
    <row r="232" customFormat="false" ht="15" hidden="false" customHeight="false" outlineLevel="0" collapsed="false">
      <c r="A232" s="3" t="n">
        <v>231</v>
      </c>
      <c r="B232" s="8" t="s">
        <v>952</v>
      </c>
      <c r="C232" s="3" t="s">
        <v>29</v>
      </c>
      <c r="D232" s="23" t="s">
        <v>15</v>
      </c>
      <c r="E232" s="10" t="s">
        <v>953</v>
      </c>
      <c r="F232" s="3" t="n">
        <v>1</v>
      </c>
      <c r="G232" s="5" t="s">
        <v>1725</v>
      </c>
    </row>
    <row r="233" customFormat="false" ht="15" hidden="false" customHeight="false" outlineLevel="0" collapsed="false">
      <c r="A233" s="3" t="n">
        <v>232</v>
      </c>
      <c r="B233" s="8" t="s">
        <v>955</v>
      </c>
      <c r="C233" s="3" t="s">
        <v>80</v>
      </c>
      <c r="D233" s="23" t="s">
        <v>15</v>
      </c>
      <c r="E233" s="5" t="s">
        <v>956</v>
      </c>
      <c r="F233" s="3" t="n">
        <v>1</v>
      </c>
      <c r="G233" s="5" t="s">
        <v>1725</v>
      </c>
    </row>
    <row r="234" customFormat="false" ht="15" hidden="false" customHeight="false" outlineLevel="0" collapsed="false">
      <c r="A234" s="3" t="n">
        <v>233</v>
      </c>
      <c r="B234" s="8" t="s">
        <v>962</v>
      </c>
      <c r="C234" s="3" t="s">
        <v>17</v>
      </c>
      <c r="D234" s="23" t="s">
        <v>15</v>
      </c>
      <c r="E234" s="5" t="s">
        <v>963</v>
      </c>
      <c r="F234" s="3" t="n">
        <v>1</v>
      </c>
      <c r="G234" s="5" t="s">
        <v>1726</v>
      </c>
    </row>
    <row r="235" customFormat="false" ht="15" hidden="false" customHeight="false" outlineLevel="0" collapsed="false">
      <c r="A235" s="3" t="n">
        <v>234</v>
      </c>
      <c r="B235" s="8" t="s">
        <v>967</v>
      </c>
      <c r="C235" s="3" t="s">
        <v>57</v>
      </c>
      <c r="D235" s="23" t="s">
        <v>15</v>
      </c>
      <c r="E235" s="10" t="s">
        <v>968</v>
      </c>
      <c r="F235" s="3" t="n">
        <v>1</v>
      </c>
      <c r="G235" s="5" t="s">
        <v>1726</v>
      </c>
    </row>
    <row r="236" customFormat="false" ht="15" hidden="false" customHeight="false" outlineLevel="0" collapsed="false">
      <c r="A236" s="3" t="n">
        <v>235</v>
      </c>
      <c r="B236" s="8" t="s">
        <v>970</v>
      </c>
      <c r="C236" s="3" t="s">
        <v>331</v>
      </c>
      <c r="D236" s="23" t="s">
        <v>111</v>
      </c>
      <c r="E236" s="5" t="s">
        <v>971</v>
      </c>
      <c r="F236" s="3" t="n">
        <v>1</v>
      </c>
      <c r="G236" s="5" t="s">
        <v>1726</v>
      </c>
    </row>
    <row r="237" customFormat="false" ht="15" hidden="false" customHeight="false" outlineLevel="0" collapsed="false">
      <c r="A237" s="3" t="n">
        <v>236</v>
      </c>
      <c r="B237" s="8" t="s">
        <v>973</v>
      </c>
      <c r="C237" s="3" t="s">
        <v>21</v>
      </c>
      <c r="D237" s="23" t="s">
        <v>15</v>
      </c>
      <c r="E237" s="5" t="s">
        <v>974</v>
      </c>
      <c r="F237" s="3" t="n">
        <v>1</v>
      </c>
      <c r="G237" s="5" t="s">
        <v>1726</v>
      </c>
    </row>
    <row r="238" customFormat="false" ht="15" hidden="false" customHeight="false" outlineLevel="0" collapsed="false">
      <c r="A238" s="3" t="n">
        <v>237</v>
      </c>
      <c r="B238" s="8" t="s">
        <v>977</v>
      </c>
      <c r="C238" s="3" t="s">
        <v>978</v>
      </c>
      <c r="D238" s="23" t="s">
        <v>15</v>
      </c>
      <c r="E238" s="5" t="s">
        <v>979</v>
      </c>
      <c r="F238" s="3" t="n">
        <v>1</v>
      </c>
      <c r="G238" s="5" t="s">
        <v>1727</v>
      </c>
    </row>
    <row r="239" customFormat="false" ht="15" hidden="false" customHeight="false" outlineLevel="0" collapsed="false">
      <c r="A239" s="3" t="n">
        <v>238</v>
      </c>
      <c r="B239" s="8" t="s">
        <v>987</v>
      </c>
      <c r="C239" s="3" t="s">
        <v>53</v>
      </c>
      <c r="D239" s="23" t="s">
        <v>15</v>
      </c>
      <c r="E239" s="5" t="s">
        <v>988</v>
      </c>
      <c r="F239" s="3" t="n">
        <v>1</v>
      </c>
      <c r="G239" s="5" t="s">
        <v>1727</v>
      </c>
    </row>
    <row r="240" customFormat="false" ht="15" hidden="false" customHeight="false" outlineLevel="0" collapsed="false">
      <c r="A240" s="3" t="n">
        <v>239</v>
      </c>
      <c r="B240" s="8" t="s">
        <v>990</v>
      </c>
      <c r="C240" s="3" t="s">
        <v>80</v>
      </c>
      <c r="D240" s="23" t="s">
        <v>15</v>
      </c>
      <c r="E240" s="5" t="s">
        <v>991</v>
      </c>
      <c r="F240" s="3" t="n">
        <v>1</v>
      </c>
      <c r="G240" s="5" t="s">
        <v>1727</v>
      </c>
    </row>
    <row r="241" customFormat="false" ht="15" hidden="false" customHeight="false" outlineLevel="0" collapsed="false">
      <c r="A241" s="3" t="n">
        <v>240</v>
      </c>
      <c r="B241" s="8" t="s">
        <v>994</v>
      </c>
      <c r="C241" s="3" t="s">
        <v>21</v>
      </c>
      <c r="D241" s="23" t="s">
        <v>15</v>
      </c>
      <c r="E241" s="5" t="s">
        <v>995</v>
      </c>
      <c r="F241" s="3" t="n">
        <v>1</v>
      </c>
      <c r="G241" s="5" t="s">
        <v>1728</v>
      </c>
    </row>
    <row r="242" customFormat="false" ht="15" hidden="false" customHeight="false" outlineLevel="0" collapsed="false">
      <c r="A242" s="3" t="n">
        <v>241</v>
      </c>
      <c r="B242" s="8" t="s">
        <v>997</v>
      </c>
      <c r="C242" s="3" t="s">
        <v>460</v>
      </c>
      <c r="D242" s="23" t="s">
        <v>15</v>
      </c>
      <c r="E242" s="5" t="s">
        <v>998</v>
      </c>
      <c r="F242" s="3" t="n">
        <v>1</v>
      </c>
      <c r="G242" s="5" t="s">
        <v>1728</v>
      </c>
    </row>
    <row r="243" customFormat="false" ht="15" hidden="false" customHeight="false" outlineLevel="0" collapsed="false">
      <c r="A243" s="3" t="n">
        <v>242</v>
      </c>
      <c r="B243" s="8" t="s">
        <v>1000</v>
      </c>
      <c r="C243" s="3" t="s">
        <v>80</v>
      </c>
      <c r="D243" s="23" t="s">
        <v>15</v>
      </c>
      <c r="E243" s="5" t="s">
        <v>1001</v>
      </c>
      <c r="F243" s="3" t="n">
        <v>1</v>
      </c>
      <c r="G243" s="5" t="s">
        <v>1728</v>
      </c>
    </row>
    <row r="244" customFormat="false" ht="15" hidden="false" customHeight="false" outlineLevel="0" collapsed="false">
      <c r="A244" s="3" t="n">
        <v>243</v>
      </c>
      <c r="B244" s="8" t="s">
        <v>1003</v>
      </c>
      <c r="C244" s="3" t="s">
        <v>142</v>
      </c>
      <c r="D244" s="23" t="s">
        <v>15</v>
      </c>
      <c r="E244" s="5" t="s">
        <v>1004</v>
      </c>
      <c r="F244" s="3" t="n">
        <v>1</v>
      </c>
      <c r="G244" s="5" t="s">
        <v>1728</v>
      </c>
    </row>
    <row r="245" customFormat="false" ht="15" hidden="false" customHeight="false" outlineLevel="0" collapsed="false">
      <c r="A245" s="3" t="n">
        <v>244</v>
      </c>
      <c r="B245" s="8" t="s">
        <v>1006</v>
      </c>
      <c r="C245" s="3" t="s">
        <v>331</v>
      </c>
      <c r="D245" s="23" t="s">
        <v>15</v>
      </c>
      <c r="E245" s="10" t="s">
        <v>1007</v>
      </c>
      <c r="F245" s="3" t="n">
        <v>1</v>
      </c>
      <c r="G245" s="5" t="s">
        <v>1728</v>
      </c>
    </row>
    <row r="246" customFormat="false" ht="15" hidden="false" customHeight="false" outlineLevel="0" collapsed="false">
      <c r="A246" s="3" t="n">
        <v>245</v>
      </c>
      <c r="B246" s="8" t="s">
        <v>1009</v>
      </c>
      <c r="C246" s="3" t="s">
        <v>17</v>
      </c>
      <c r="D246" s="23" t="s">
        <v>15</v>
      </c>
      <c r="E246" s="5" t="s">
        <v>1010</v>
      </c>
      <c r="F246" s="3" t="n">
        <v>1</v>
      </c>
      <c r="G246" s="5" t="s">
        <v>1728</v>
      </c>
    </row>
    <row r="247" customFormat="false" ht="15" hidden="false" customHeight="false" outlineLevel="0" collapsed="false">
      <c r="A247" s="3" t="n">
        <v>246</v>
      </c>
      <c r="B247" s="8" t="s">
        <v>1013</v>
      </c>
      <c r="C247" s="3" t="s">
        <v>1014</v>
      </c>
      <c r="D247" s="23" t="s">
        <v>111</v>
      </c>
      <c r="E247" s="5" t="s">
        <v>1015</v>
      </c>
      <c r="F247" s="3" t="n">
        <v>1</v>
      </c>
      <c r="G247" s="5" t="s">
        <v>1729</v>
      </c>
    </row>
    <row r="248" customFormat="false" ht="15" hidden="false" customHeight="false" outlineLevel="0" collapsed="false">
      <c r="A248" s="3" t="n">
        <v>247</v>
      </c>
      <c r="B248" s="8" t="s">
        <v>1017</v>
      </c>
      <c r="C248" s="3" t="s">
        <v>1014</v>
      </c>
      <c r="D248" s="23" t="s">
        <v>111</v>
      </c>
      <c r="E248" s="10" t="s">
        <v>1018</v>
      </c>
      <c r="F248" s="3" t="n">
        <v>1</v>
      </c>
      <c r="G248" s="5" t="s">
        <v>1729</v>
      </c>
    </row>
    <row r="249" customFormat="false" ht="15" hidden="false" customHeight="false" outlineLevel="0" collapsed="false">
      <c r="A249" s="3" t="n">
        <v>248</v>
      </c>
      <c r="B249" s="8" t="s">
        <v>1020</v>
      </c>
      <c r="C249" s="3" t="s">
        <v>1014</v>
      </c>
      <c r="D249" s="23" t="s">
        <v>111</v>
      </c>
      <c r="E249" s="5" t="s">
        <v>1021</v>
      </c>
      <c r="F249" s="3" t="n">
        <v>1</v>
      </c>
      <c r="G249" s="5" t="s">
        <v>1729</v>
      </c>
    </row>
    <row r="250" customFormat="false" ht="15" hidden="false" customHeight="false" outlineLevel="0" collapsed="false">
      <c r="A250" s="3" t="n">
        <v>249</v>
      </c>
      <c r="B250" s="8" t="s">
        <v>1023</v>
      </c>
      <c r="C250" s="3" t="s">
        <v>142</v>
      </c>
      <c r="D250" s="23" t="s">
        <v>111</v>
      </c>
      <c r="E250" s="5" t="s">
        <v>1024</v>
      </c>
      <c r="F250" s="3" t="n">
        <v>1</v>
      </c>
      <c r="G250" s="5" t="s">
        <v>1729</v>
      </c>
    </row>
    <row r="251" customFormat="false" ht="15" hidden="false" customHeight="false" outlineLevel="0" collapsed="false">
      <c r="A251" s="3" t="n">
        <v>250</v>
      </c>
      <c r="B251" s="8" t="s">
        <v>1026</v>
      </c>
      <c r="C251" s="3" t="s">
        <v>1014</v>
      </c>
      <c r="D251" s="23" t="s">
        <v>111</v>
      </c>
      <c r="E251" s="5" t="s">
        <v>1027</v>
      </c>
      <c r="F251" s="3" t="n">
        <v>1</v>
      </c>
      <c r="G251" s="5" t="s">
        <v>1729</v>
      </c>
    </row>
    <row r="252" customFormat="false" ht="15" hidden="false" customHeight="false" outlineLevel="0" collapsed="false">
      <c r="A252" s="3" t="n">
        <v>251</v>
      </c>
      <c r="B252" s="8" t="s">
        <v>1029</v>
      </c>
      <c r="C252" s="3" t="s">
        <v>1014</v>
      </c>
      <c r="D252" s="23" t="s">
        <v>111</v>
      </c>
      <c r="E252" s="5" t="s">
        <v>1030</v>
      </c>
      <c r="F252" s="3" t="n">
        <v>1</v>
      </c>
      <c r="G252" s="5" t="s">
        <v>1729</v>
      </c>
    </row>
    <row r="253" customFormat="false" ht="15" hidden="false" customHeight="false" outlineLevel="0" collapsed="false">
      <c r="A253" s="3" t="n">
        <v>252</v>
      </c>
      <c r="B253" s="8" t="s">
        <v>1036</v>
      </c>
      <c r="C253" s="3" t="s">
        <v>57</v>
      </c>
      <c r="D253" s="23" t="s">
        <v>15</v>
      </c>
      <c r="E253" s="10" t="s">
        <v>1037</v>
      </c>
      <c r="F253" s="3" t="n">
        <v>1</v>
      </c>
      <c r="G253" s="5" t="s">
        <v>1730</v>
      </c>
    </row>
    <row r="254" customFormat="false" ht="15" hidden="false" customHeight="false" outlineLevel="0" collapsed="false">
      <c r="A254" s="3" t="n">
        <v>253</v>
      </c>
      <c r="B254" s="8" t="s">
        <v>1041</v>
      </c>
      <c r="C254" s="3" t="s">
        <v>57</v>
      </c>
      <c r="D254" s="23" t="s">
        <v>111</v>
      </c>
      <c r="E254" s="5" t="s">
        <v>1042</v>
      </c>
      <c r="F254" s="3" t="n">
        <v>1</v>
      </c>
      <c r="G254" s="5" t="s">
        <v>1730</v>
      </c>
    </row>
    <row r="255" customFormat="false" ht="15" hidden="false" customHeight="false" outlineLevel="0" collapsed="false">
      <c r="A255" s="3" t="n">
        <v>254</v>
      </c>
      <c r="B255" s="8" t="s">
        <v>1050</v>
      </c>
      <c r="C255" s="3" t="s">
        <v>142</v>
      </c>
      <c r="D255" s="23" t="s">
        <v>15</v>
      </c>
      <c r="E255" s="5" t="s">
        <v>1051</v>
      </c>
      <c r="F255" s="3" t="n">
        <v>1</v>
      </c>
      <c r="G255" s="5" t="s">
        <v>1731</v>
      </c>
    </row>
    <row r="256" customFormat="false" ht="15" hidden="false" customHeight="false" outlineLevel="0" collapsed="false">
      <c r="A256" s="3" t="n">
        <v>255</v>
      </c>
      <c r="B256" s="8" t="s">
        <v>1053</v>
      </c>
      <c r="C256" s="3" t="s">
        <v>80</v>
      </c>
      <c r="D256" s="23" t="s">
        <v>15</v>
      </c>
      <c r="E256" s="5" t="s">
        <v>1054</v>
      </c>
      <c r="F256" s="3" t="n">
        <v>1</v>
      </c>
      <c r="G256" s="5" t="s">
        <v>1731</v>
      </c>
    </row>
    <row r="257" customFormat="false" ht="15" hidden="false" customHeight="false" outlineLevel="0" collapsed="false">
      <c r="A257" s="3" t="n">
        <v>256</v>
      </c>
      <c r="B257" s="8" t="s">
        <v>1056</v>
      </c>
      <c r="C257" s="3" t="s">
        <v>21</v>
      </c>
      <c r="D257" s="23" t="s">
        <v>111</v>
      </c>
      <c r="E257" s="5" t="s">
        <v>1057</v>
      </c>
      <c r="F257" s="3" t="n">
        <v>1</v>
      </c>
      <c r="G257" s="5" t="s">
        <v>1731</v>
      </c>
    </row>
    <row r="258" customFormat="false" ht="15" hidden="false" customHeight="false" outlineLevel="0" collapsed="false">
      <c r="A258" s="3" t="n">
        <v>257</v>
      </c>
      <c r="B258" s="8" t="s">
        <v>1059</v>
      </c>
      <c r="C258" s="3" t="s">
        <v>29</v>
      </c>
      <c r="D258" s="23" t="s">
        <v>15</v>
      </c>
      <c r="E258" s="10" t="s">
        <v>1060</v>
      </c>
      <c r="F258" s="3" t="n">
        <v>1</v>
      </c>
      <c r="G258" s="5" t="s">
        <v>1731</v>
      </c>
    </row>
    <row r="259" customFormat="false" ht="15" hidden="false" customHeight="false" outlineLevel="0" collapsed="false">
      <c r="A259" s="3" t="n">
        <v>258</v>
      </c>
      <c r="B259" s="8" t="s">
        <v>1062</v>
      </c>
      <c r="C259" s="3" t="s">
        <v>460</v>
      </c>
      <c r="D259" s="23" t="s">
        <v>111</v>
      </c>
      <c r="E259" s="5" t="s">
        <v>1063</v>
      </c>
      <c r="F259" s="3" t="n">
        <v>1</v>
      </c>
      <c r="G259" s="5" t="s">
        <v>1731</v>
      </c>
    </row>
    <row r="260" customFormat="false" ht="15" hidden="false" customHeight="false" outlineLevel="0" collapsed="false">
      <c r="A260" s="3" t="n">
        <v>259</v>
      </c>
      <c r="B260" s="8" t="s">
        <v>1065</v>
      </c>
      <c r="C260" s="3" t="s">
        <v>1014</v>
      </c>
      <c r="D260" s="23" t="s">
        <v>111</v>
      </c>
      <c r="E260" s="5" t="s">
        <v>1066</v>
      </c>
      <c r="F260" s="3" t="n">
        <v>1</v>
      </c>
      <c r="G260" s="5" t="s">
        <v>1731</v>
      </c>
    </row>
    <row r="261" customFormat="false" ht="15" hidden="false" customHeight="false" outlineLevel="0" collapsed="false">
      <c r="A261" s="3" t="n">
        <v>260</v>
      </c>
      <c r="B261" s="8" t="s">
        <v>1069</v>
      </c>
      <c r="C261" s="3" t="s">
        <v>1014</v>
      </c>
      <c r="D261" s="23" t="s">
        <v>111</v>
      </c>
      <c r="E261" s="5" t="s">
        <v>1070</v>
      </c>
      <c r="F261" s="3" t="n">
        <v>1</v>
      </c>
      <c r="G261" s="5" t="s">
        <v>1732</v>
      </c>
    </row>
    <row r="262" customFormat="false" ht="15" hidden="false" customHeight="false" outlineLevel="0" collapsed="false">
      <c r="A262" s="3" t="n">
        <v>261</v>
      </c>
      <c r="B262" s="8" t="s">
        <v>1074</v>
      </c>
      <c r="C262" s="3" t="s">
        <v>57</v>
      </c>
      <c r="D262" s="23" t="s">
        <v>111</v>
      </c>
      <c r="E262" s="5" t="s">
        <v>1075</v>
      </c>
      <c r="F262" s="3" t="n">
        <v>1</v>
      </c>
      <c r="G262" s="5" t="s">
        <v>1732</v>
      </c>
    </row>
    <row r="263" customFormat="false" ht="15" hidden="false" customHeight="false" outlineLevel="0" collapsed="false">
      <c r="A263" s="3" t="n">
        <v>262</v>
      </c>
      <c r="B263" s="8" t="s">
        <v>1077</v>
      </c>
      <c r="C263" s="3" t="s">
        <v>57</v>
      </c>
      <c r="D263" s="23" t="s">
        <v>15</v>
      </c>
      <c r="E263" s="10" t="s">
        <v>1078</v>
      </c>
      <c r="F263" s="3" t="n">
        <v>1</v>
      </c>
      <c r="G263" s="5" t="s">
        <v>1732</v>
      </c>
    </row>
    <row r="264" customFormat="false" ht="15" hidden="false" customHeight="false" outlineLevel="0" collapsed="false">
      <c r="A264" s="3" t="n">
        <v>263</v>
      </c>
      <c r="B264" s="8" t="s">
        <v>1082</v>
      </c>
      <c r="C264" s="3" t="s">
        <v>17</v>
      </c>
      <c r="D264" s="23" t="s">
        <v>15</v>
      </c>
      <c r="E264" s="5" t="s">
        <v>1083</v>
      </c>
      <c r="F264" s="3" t="n">
        <v>1</v>
      </c>
      <c r="G264" s="5" t="s">
        <v>1732</v>
      </c>
    </row>
    <row r="265" customFormat="false" ht="15" hidden="false" customHeight="false" outlineLevel="0" collapsed="false">
      <c r="A265" s="3" t="n">
        <v>264</v>
      </c>
      <c r="B265" s="8" t="s">
        <v>1088</v>
      </c>
      <c r="C265" s="3" t="s">
        <v>108</v>
      </c>
      <c r="D265" s="23" t="s">
        <v>15</v>
      </c>
      <c r="E265" s="10" t="s">
        <v>1089</v>
      </c>
      <c r="F265" s="3" t="n">
        <v>1</v>
      </c>
      <c r="G265" s="5" t="s">
        <v>1733</v>
      </c>
    </row>
    <row r="266" customFormat="false" ht="15" hidden="false" customHeight="false" outlineLevel="0" collapsed="false">
      <c r="A266" s="3" t="n">
        <v>265</v>
      </c>
      <c r="B266" s="8" t="s">
        <v>1091</v>
      </c>
      <c r="C266" s="3" t="s">
        <v>142</v>
      </c>
      <c r="D266" s="23" t="s">
        <v>15</v>
      </c>
      <c r="E266" s="5" t="s">
        <v>1092</v>
      </c>
      <c r="F266" s="3" t="n">
        <v>1</v>
      </c>
      <c r="G266" s="5" t="s">
        <v>1733</v>
      </c>
    </row>
    <row r="267" customFormat="false" ht="15" hidden="false" customHeight="false" outlineLevel="0" collapsed="false">
      <c r="A267" s="3" t="n">
        <v>266</v>
      </c>
      <c r="B267" s="8" t="s">
        <v>1094</v>
      </c>
      <c r="C267" s="3" t="s">
        <v>17</v>
      </c>
      <c r="D267" s="23" t="s">
        <v>15</v>
      </c>
      <c r="E267" s="5" t="s">
        <v>1095</v>
      </c>
      <c r="F267" s="3" t="n">
        <v>1</v>
      </c>
      <c r="G267" s="5" t="s">
        <v>1733</v>
      </c>
    </row>
    <row r="268" customFormat="false" ht="15" hidden="false" customHeight="false" outlineLevel="0" collapsed="false">
      <c r="A268" s="3" t="n">
        <v>267</v>
      </c>
      <c r="B268" s="8" t="s">
        <v>1096</v>
      </c>
      <c r="C268" s="3" t="s">
        <v>142</v>
      </c>
      <c r="D268" s="23" t="s">
        <v>15</v>
      </c>
      <c r="E268" s="5" t="s">
        <v>1097</v>
      </c>
      <c r="F268" s="3" t="n">
        <v>1</v>
      </c>
      <c r="G268" s="5" t="s">
        <v>1733</v>
      </c>
    </row>
    <row r="269" customFormat="false" ht="15" hidden="false" customHeight="false" outlineLevel="0" collapsed="false">
      <c r="A269" s="3" t="n">
        <v>268</v>
      </c>
      <c r="B269" s="8" t="s">
        <v>1099</v>
      </c>
      <c r="C269" s="3" t="s">
        <v>80</v>
      </c>
      <c r="D269" s="23" t="s">
        <v>15</v>
      </c>
      <c r="E269" s="5" t="s">
        <v>1100</v>
      </c>
      <c r="F269" s="3" t="n">
        <v>1</v>
      </c>
      <c r="G269" s="5" t="s">
        <v>1733</v>
      </c>
    </row>
    <row r="270" customFormat="false" ht="15" hidden="false" customHeight="false" outlineLevel="0" collapsed="false">
      <c r="A270" s="3" t="n">
        <v>269</v>
      </c>
      <c r="B270" s="8" t="s">
        <v>1102</v>
      </c>
      <c r="C270" s="3" t="s">
        <v>57</v>
      </c>
      <c r="D270" s="23" t="s">
        <v>15</v>
      </c>
      <c r="E270" s="10" t="s">
        <v>1103</v>
      </c>
      <c r="F270" s="3" t="n">
        <v>1</v>
      </c>
      <c r="G270" s="5" t="s">
        <v>1733</v>
      </c>
    </row>
    <row r="271" customFormat="false" ht="15" hidden="false" customHeight="false" outlineLevel="0" collapsed="false">
      <c r="A271" s="3" t="n">
        <v>270</v>
      </c>
      <c r="B271" s="8" t="s">
        <v>1106</v>
      </c>
      <c r="C271" s="3" t="s">
        <v>17</v>
      </c>
      <c r="D271" s="23" t="s">
        <v>15</v>
      </c>
      <c r="E271" s="5" t="s">
        <v>1107</v>
      </c>
      <c r="F271" s="3" t="n">
        <v>1</v>
      </c>
      <c r="G271" s="5" t="s">
        <v>1734</v>
      </c>
    </row>
    <row r="272" customFormat="false" ht="15" hidden="false" customHeight="false" outlineLevel="0" collapsed="false">
      <c r="A272" s="3" t="n">
        <v>271</v>
      </c>
      <c r="B272" s="8" t="s">
        <v>1109</v>
      </c>
      <c r="C272" s="3" t="s">
        <v>65</v>
      </c>
      <c r="D272" s="23" t="s">
        <v>15</v>
      </c>
      <c r="E272" s="5" t="s">
        <v>1110</v>
      </c>
      <c r="F272" s="3" t="n">
        <v>1</v>
      </c>
      <c r="G272" s="5" t="s">
        <v>1734</v>
      </c>
    </row>
    <row r="273" customFormat="false" ht="15" hidden="false" customHeight="false" outlineLevel="0" collapsed="false">
      <c r="A273" s="3" t="n">
        <v>272</v>
      </c>
      <c r="B273" s="8" t="s">
        <v>1112</v>
      </c>
      <c r="C273" s="3" t="s">
        <v>21</v>
      </c>
      <c r="D273" s="23" t="s">
        <v>15</v>
      </c>
      <c r="E273" s="5" t="s">
        <v>1113</v>
      </c>
      <c r="F273" s="3" t="n">
        <v>1</v>
      </c>
      <c r="G273" s="5" t="s">
        <v>1734</v>
      </c>
    </row>
    <row r="274" customFormat="false" ht="15" hidden="false" customHeight="false" outlineLevel="0" collapsed="false">
      <c r="A274" s="3" t="n">
        <v>273</v>
      </c>
      <c r="B274" s="8" t="s">
        <v>1115</v>
      </c>
      <c r="C274" s="3" t="s">
        <v>21</v>
      </c>
      <c r="D274" s="23" t="s">
        <v>15</v>
      </c>
      <c r="E274" s="5" t="s">
        <v>1116</v>
      </c>
      <c r="F274" s="3" t="n">
        <v>1</v>
      </c>
      <c r="G274" s="5" t="s">
        <v>1734</v>
      </c>
    </row>
    <row r="275" customFormat="false" ht="15" hidden="false" customHeight="false" outlineLevel="0" collapsed="false">
      <c r="A275" s="3" t="n">
        <v>274</v>
      </c>
      <c r="B275" s="8" t="s">
        <v>1118</v>
      </c>
      <c r="C275" s="3" t="s">
        <v>108</v>
      </c>
      <c r="D275" s="23" t="s">
        <v>15</v>
      </c>
      <c r="E275" s="10" t="s">
        <v>1119</v>
      </c>
      <c r="F275" s="3" t="n">
        <v>1</v>
      </c>
      <c r="G275" s="5" t="s">
        <v>1734</v>
      </c>
    </row>
    <row r="276" customFormat="false" ht="15" hidden="false" customHeight="false" outlineLevel="0" collapsed="false">
      <c r="A276" s="3" t="n">
        <v>275</v>
      </c>
      <c r="B276" s="8" t="s">
        <v>1121</v>
      </c>
      <c r="C276" s="3" t="s">
        <v>17</v>
      </c>
      <c r="D276" s="23" t="s">
        <v>15</v>
      </c>
      <c r="E276" s="5" t="s">
        <v>1122</v>
      </c>
      <c r="F276" s="3" t="n">
        <v>1</v>
      </c>
      <c r="G276" s="5" t="s">
        <v>1734</v>
      </c>
    </row>
    <row r="277" customFormat="false" ht="15" hidden="false" customHeight="false" outlineLevel="0" collapsed="false">
      <c r="A277" s="3" t="n">
        <v>276</v>
      </c>
      <c r="B277" s="8" t="s">
        <v>1127</v>
      </c>
      <c r="C277" s="3" t="s">
        <v>57</v>
      </c>
      <c r="D277" s="23" t="s">
        <v>15</v>
      </c>
      <c r="E277" s="10" t="s">
        <v>1128</v>
      </c>
      <c r="F277" s="3" t="n">
        <v>1</v>
      </c>
      <c r="G277" s="5" t="s">
        <v>1735</v>
      </c>
    </row>
    <row r="278" customFormat="false" ht="15" hidden="false" customHeight="false" outlineLevel="0" collapsed="false">
      <c r="A278" s="3" t="n">
        <v>277</v>
      </c>
      <c r="B278" s="8" t="s">
        <v>1134</v>
      </c>
      <c r="C278" s="3" t="s">
        <v>21</v>
      </c>
      <c r="D278" s="23" t="s">
        <v>15</v>
      </c>
      <c r="E278" s="5" t="s">
        <v>1135</v>
      </c>
      <c r="F278" s="3" t="n">
        <v>1</v>
      </c>
      <c r="G278" s="5" t="s">
        <v>1735</v>
      </c>
    </row>
    <row r="279" customFormat="false" ht="15" hidden="false" customHeight="false" outlineLevel="0" collapsed="false">
      <c r="A279" s="3" t="n">
        <v>278</v>
      </c>
      <c r="B279" s="8" t="s">
        <v>1140</v>
      </c>
      <c r="C279" s="3" t="s">
        <v>53</v>
      </c>
      <c r="D279" s="23" t="s">
        <v>15</v>
      </c>
      <c r="E279" s="5" t="s">
        <v>1141</v>
      </c>
      <c r="F279" s="3" t="n">
        <v>1</v>
      </c>
      <c r="G279" s="5" t="s">
        <v>1736</v>
      </c>
    </row>
    <row r="280" customFormat="false" ht="15" hidden="false" customHeight="false" outlineLevel="0" collapsed="false">
      <c r="A280" s="3" t="n">
        <v>279</v>
      </c>
      <c r="B280" s="8" t="s">
        <v>1143</v>
      </c>
      <c r="C280" s="3" t="s">
        <v>142</v>
      </c>
      <c r="D280" s="23" t="s">
        <v>15</v>
      </c>
      <c r="E280" s="5" t="s">
        <v>1144</v>
      </c>
      <c r="F280" s="3" t="n">
        <v>1</v>
      </c>
      <c r="G280" s="5" t="s">
        <v>1736</v>
      </c>
    </row>
    <row r="281" customFormat="false" ht="15" hidden="false" customHeight="false" outlineLevel="0" collapsed="false">
      <c r="A281" s="3" t="n">
        <v>280</v>
      </c>
      <c r="B281" s="8" t="s">
        <v>1146</v>
      </c>
      <c r="C281" s="3" t="s">
        <v>80</v>
      </c>
      <c r="D281" s="23" t="s">
        <v>15</v>
      </c>
      <c r="E281" s="5" t="s">
        <v>1147</v>
      </c>
      <c r="F281" s="3" t="n">
        <v>1</v>
      </c>
      <c r="G281" s="5" t="s">
        <v>1736</v>
      </c>
    </row>
    <row r="282" customFormat="false" ht="15" hidden="false" customHeight="false" outlineLevel="0" collapsed="false">
      <c r="A282" s="3" t="n">
        <v>281</v>
      </c>
      <c r="B282" s="8" t="s">
        <v>1149</v>
      </c>
      <c r="C282" s="3" t="s">
        <v>108</v>
      </c>
      <c r="D282" s="23" t="s">
        <v>15</v>
      </c>
      <c r="E282" s="5" t="s">
        <v>1150</v>
      </c>
      <c r="F282" s="3" t="n">
        <v>1</v>
      </c>
      <c r="G282" s="5" t="s">
        <v>1736</v>
      </c>
    </row>
    <row r="283" customFormat="false" ht="15" hidden="false" customHeight="false" outlineLevel="0" collapsed="false">
      <c r="A283" s="3" t="n">
        <v>282</v>
      </c>
      <c r="B283" s="8" t="s">
        <v>1152</v>
      </c>
      <c r="C283" s="3" t="s">
        <v>57</v>
      </c>
      <c r="D283" s="23" t="s">
        <v>15</v>
      </c>
      <c r="E283" s="10" t="s">
        <v>1153</v>
      </c>
      <c r="F283" s="3" t="n">
        <v>1</v>
      </c>
      <c r="G283" s="5" t="s">
        <v>1736</v>
      </c>
    </row>
    <row r="284" customFormat="false" ht="15" hidden="false" customHeight="false" outlineLevel="0" collapsed="false">
      <c r="A284" s="3" t="n">
        <v>283</v>
      </c>
      <c r="B284" s="8" t="s">
        <v>1155</v>
      </c>
      <c r="C284" s="3" t="s">
        <v>57</v>
      </c>
      <c r="D284" s="23" t="s">
        <v>15</v>
      </c>
      <c r="E284" s="10" t="s">
        <v>1156</v>
      </c>
      <c r="F284" s="3" t="n">
        <v>1</v>
      </c>
      <c r="G284" s="5" t="s">
        <v>1736</v>
      </c>
    </row>
    <row r="285" customFormat="false" ht="15" hidden="false" customHeight="false" outlineLevel="0" collapsed="false">
      <c r="A285" s="3" t="n">
        <v>284</v>
      </c>
      <c r="B285" s="8" t="s">
        <v>1159</v>
      </c>
      <c r="C285" s="3" t="s">
        <v>21</v>
      </c>
      <c r="D285" s="23" t="s">
        <v>15</v>
      </c>
      <c r="E285" s="5" t="s">
        <v>1160</v>
      </c>
      <c r="F285" s="3" t="n">
        <v>1</v>
      </c>
      <c r="G285" s="5" t="s">
        <v>1737</v>
      </c>
    </row>
    <row r="286" customFormat="false" ht="15" hidden="false" customHeight="false" outlineLevel="0" collapsed="false">
      <c r="A286" s="3" t="n">
        <v>285</v>
      </c>
      <c r="B286" s="8" t="s">
        <v>1162</v>
      </c>
      <c r="C286" s="3" t="s">
        <v>125</v>
      </c>
      <c r="D286" s="23" t="s">
        <v>15</v>
      </c>
      <c r="E286" s="5" t="s">
        <v>1163</v>
      </c>
      <c r="F286" s="3" t="n">
        <v>1</v>
      </c>
      <c r="G286" s="5" t="s">
        <v>1737</v>
      </c>
    </row>
    <row r="287" customFormat="false" ht="15" hidden="false" customHeight="false" outlineLevel="0" collapsed="false">
      <c r="A287" s="3" t="n">
        <v>286</v>
      </c>
      <c r="B287" s="8" t="s">
        <v>1165</v>
      </c>
      <c r="C287" s="3" t="s">
        <v>57</v>
      </c>
      <c r="D287" s="23" t="s">
        <v>15</v>
      </c>
      <c r="E287" s="10" t="s">
        <v>1166</v>
      </c>
      <c r="F287" s="3" t="n">
        <v>1</v>
      </c>
      <c r="G287" s="5" t="s">
        <v>1737</v>
      </c>
    </row>
    <row r="288" customFormat="false" ht="15" hidden="false" customHeight="false" outlineLevel="0" collapsed="false">
      <c r="A288" s="3" t="n">
        <v>287</v>
      </c>
      <c r="B288" s="8" t="s">
        <v>1168</v>
      </c>
      <c r="C288" s="3" t="s">
        <v>1169</v>
      </c>
      <c r="D288" s="23" t="s">
        <v>15</v>
      </c>
      <c r="E288" s="5" t="s">
        <v>1170</v>
      </c>
      <c r="F288" s="3" t="n">
        <v>1</v>
      </c>
      <c r="G288" s="5" t="s">
        <v>1737</v>
      </c>
    </row>
    <row r="289" customFormat="false" ht="15" hidden="false" customHeight="false" outlineLevel="0" collapsed="false">
      <c r="A289" s="3" t="n">
        <v>288</v>
      </c>
      <c r="B289" s="8" t="s">
        <v>1172</v>
      </c>
      <c r="C289" s="3" t="s">
        <v>57</v>
      </c>
      <c r="D289" s="23" t="s">
        <v>15</v>
      </c>
      <c r="E289" s="10" t="s">
        <v>1173</v>
      </c>
      <c r="F289" s="3" t="n">
        <v>1</v>
      </c>
      <c r="G289" s="5" t="s">
        <v>1737</v>
      </c>
    </row>
    <row r="290" customFormat="false" ht="15" hidden="false" customHeight="false" outlineLevel="0" collapsed="false">
      <c r="A290" s="3" t="n">
        <v>289</v>
      </c>
      <c r="B290" s="8" t="s">
        <v>1174</v>
      </c>
      <c r="C290" s="3" t="s">
        <v>142</v>
      </c>
      <c r="D290" s="23" t="s">
        <v>15</v>
      </c>
      <c r="E290" s="5" t="s">
        <v>1175</v>
      </c>
      <c r="F290" s="3" t="n">
        <v>1</v>
      </c>
      <c r="G290" s="5" t="s">
        <v>1737</v>
      </c>
    </row>
    <row r="291" customFormat="false" ht="15" hidden="false" customHeight="false" outlineLevel="0" collapsed="false">
      <c r="A291" s="3" t="n">
        <v>290</v>
      </c>
      <c r="B291" s="8" t="s">
        <v>1178</v>
      </c>
      <c r="C291" s="3" t="s">
        <v>57</v>
      </c>
      <c r="D291" s="23" t="s">
        <v>15</v>
      </c>
      <c r="E291" s="10" t="s">
        <v>1179</v>
      </c>
      <c r="F291" s="3" t="n">
        <v>1</v>
      </c>
      <c r="G291" s="5" t="s">
        <v>1738</v>
      </c>
    </row>
    <row r="292" customFormat="false" ht="15" hidden="false" customHeight="false" outlineLevel="0" collapsed="false">
      <c r="A292" s="3" t="n">
        <v>291</v>
      </c>
      <c r="B292" s="8" t="s">
        <v>1181</v>
      </c>
      <c r="C292" s="3" t="s">
        <v>80</v>
      </c>
      <c r="D292" s="23" t="s">
        <v>15</v>
      </c>
      <c r="E292" s="5" t="s">
        <v>1182</v>
      </c>
      <c r="F292" s="3" t="n">
        <v>1</v>
      </c>
      <c r="G292" s="5" t="s">
        <v>1738</v>
      </c>
    </row>
    <row r="293" customFormat="false" ht="15" hidden="false" customHeight="false" outlineLevel="0" collapsed="false">
      <c r="A293" s="3" t="n">
        <v>292</v>
      </c>
      <c r="B293" s="8" t="s">
        <v>1184</v>
      </c>
      <c r="C293" s="3" t="s">
        <v>21</v>
      </c>
      <c r="D293" s="23" t="s">
        <v>15</v>
      </c>
      <c r="E293" s="5" t="s">
        <v>1185</v>
      </c>
      <c r="F293" s="3" t="n">
        <v>1</v>
      </c>
      <c r="G293" s="5" t="s">
        <v>1738</v>
      </c>
    </row>
    <row r="294" customFormat="false" ht="15" hidden="false" customHeight="false" outlineLevel="0" collapsed="false">
      <c r="A294" s="3" t="n">
        <v>293</v>
      </c>
      <c r="B294" s="8" t="s">
        <v>1187</v>
      </c>
      <c r="C294" s="3" t="s">
        <v>125</v>
      </c>
      <c r="D294" s="23" t="s">
        <v>15</v>
      </c>
      <c r="E294" s="5" t="s">
        <v>1188</v>
      </c>
      <c r="F294" s="3" t="n">
        <v>1</v>
      </c>
      <c r="G294" s="5" t="s">
        <v>1738</v>
      </c>
    </row>
    <row r="295" customFormat="false" ht="15" hidden="false" customHeight="false" outlineLevel="0" collapsed="false">
      <c r="A295" s="3" t="n">
        <v>294</v>
      </c>
      <c r="B295" s="8" t="s">
        <v>1190</v>
      </c>
      <c r="C295" s="3" t="s">
        <v>108</v>
      </c>
      <c r="D295" s="23" t="s">
        <v>15</v>
      </c>
      <c r="E295" s="5" t="s">
        <v>1191</v>
      </c>
      <c r="F295" s="3" t="n">
        <v>1</v>
      </c>
      <c r="G295" s="5" t="s">
        <v>1738</v>
      </c>
    </row>
    <row r="296" customFormat="false" ht="15" hidden="false" customHeight="false" outlineLevel="0" collapsed="false">
      <c r="A296" s="3" t="n">
        <v>295</v>
      </c>
      <c r="B296" s="8" t="s">
        <v>1193</v>
      </c>
      <c r="C296" s="3" t="s">
        <v>21</v>
      </c>
      <c r="D296" s="23" t="s">
        <v>15</v>
      </c>
      <c r="E296" s="5" t="s">
        <v>1194</v>
      </c>
      <c r="F296" s="3" t="n">
        <v>1</v>
      </c>
      <c r="G296" s="5" t="s">
        <v>1738</v>
      </c>
    </row>
    <row r="297" customFormat="false" ht="15" hidden="false" customHeight="false" outlineLevel="0" collapsed="false">
      <c r="A297" s="3" t="n">
        <v>296</v>
      </c>
      <c r="B297" s="8" t="s">
        <v>1197</v>
      </c>
      <c r="C297" s="3" t="s">
        <v>681</v>
      </c>
      <c r="D297" s="23" t="s">
        <v>111</v>
      </c>
      <c r="E297" s="5" t="s">
        <v>1198</v>
      </c>
      <c r="F297" s="3" t="n">
        <v>1</v>
      </c>
      <c r="G297" s="5" t="s">
        <v>1739</v>
      </c>
    </row>
    <row r="298" customFormat="false" ht="15" hidden="false" customHeight="false" outlineLevel="0" collapsed="false">
      <c r="A298" s="3" t="n">
        <v>297</v>
      </c>
      <c r="B298" s="8" t="s">
        <v>1200</v>
      </c>
      <c r="C298" s="3" t="s">
        <v>331</v>
      </c>
      <c r="D298" s="23" t="s">
        <v>111</v>
      </c>
      <c r="E298" s="5" t="s">
        <v>1201</v>
      </c>
      <c r="F298" s="3" t="n">
        <v>1</v>
      </c>
      <c r="G298" s="5" t="s">
        <v>1739</v>
      </c>
    </row>
    <row r="299" customFormat="false" ht="15" hidden="false" customHeight="false" outlineLevel="0" collapsed="false">
      <c r="A299" s="3" t="n">
        <v>298</v>
      </c>
      <c r="B299" s="8" t="s">
        <v>1203</v>
      </c>
      <c r="C299" s="3" t="s">
        <v>331</v>
      </c>
      <c r="D299" s="23" t="s">
        <v>111</v>
      </c>
      <c r="E299" s="5" t="s">
        <v>1204</v>
      </c>
      <c r="F299" s="3" t="n">
        <v>1</v>
      </c>
      <c r="G299" s="5" t="s">
        <v>1739</v>
      </c>
    </row>
    <row r="300" customFormat="false" ht="15" hidden="false" customHeight="false" outlineLevel="0" collapsed="false">
      <c r="A300" s="3" t="n">
        <v>299</v>
      </c>
      <c r="B300" s="8" t="s">
        <v>1206</v>
      </c>
      <c r="C300" s="3" t="s">
        <v>331</v>
      </c>
      <c r="D300" s="23" t="s">
        <v>111</v>
      </c>
      <c r="E300" s="5" t="s">
        <v>1207</v>
      </c>
      <c r="F300" s="3" t="n">
        <v>1</v>
      </c>
      <c r="G300" s="5" t="s">
        <v>1739</v>
      </c>
    </row>
    <row r="301" customFormat="false" ht="15" hidden="false" customHeight="false" outlineLevel="0" collapsed="false">
      <c r="A301" s="3" t="n">
        <v>300</v>
      </c>
      <c r="B301" s="8" t="s">
        <v>1209</v>
      </c>
      <c r="C301" s="3" t="s">
        <v>331</v>
      </c>
      <c r="D301" s="23" t="s">
        <v>111</v>
      </c>
      <c r="E301" s="5" t="s">
        <v>1210</v>
      </c>
      <c r="F301" s="3" t="n">
        <v>1</v>
      </c>
      <c r="G301" s="5" t="s">
        <v>1739</v>
      </c>
    </row>
    <row r="302" customFormat="false" ht="15" hidden="false" customHeight="false" outlineLevel="0" collapsed="false">
      <c r="A302" s="3" t="n">
        <v>301</v>
      </c>
      <c r="B302" s="8" t="s">
        <v>1212</v>
      </c>
      <c r="C302" s="3" t="s">
        <v>53</v>
      </c>
      <c r="D302" s="23" t="s">
        <v>111</v>
      </c>
      <c r="E302" s="5" t="s">
        <v>1213</v>
      </c>
      <c r="F302" s="3" t="n">
        <v>1</v>
      </c>
      <c r="G302" s="5" t="s">
        <v>1739</v>
      </c>
    </row>
    <row r="303" customFormat="false" ht="15" hidden="false" customHeight="false" outlineLevel="0" collapsed="false">
      <c r="A303" s="3" t="n">
        <v>302</v>
      </c>
      <c r="B303" s="8" t="s">
        <v>1218</v>
      </c>
      <c r="C303" s="3" t="s">
        <v>57</v>
      </c>
      <c r="D303" s="23" t="s">
        <v>111</v>
      </c>
      <c r="E303" s="5" t="s">
        <v>1219</v>
      </c>
      <c r="F303" s="3" t="n">
        <v>1</v>
      </c>
      <c r="G303" s="5" t="s">
        <v>1740</v>
      </c>
    </row>
    <row r="304" customFormat="false" ht="15" hidden="false" customHeight="false" outlineLevel="0" collapsed="false">
      <c r="A304" s="3" t="n">
        <v>303</v>
      </c>
      <c r="B304" s="8" t="s">
        <v>1221</v>
      </c>
      <c r="C304" s="3" t="s">
        <v>57</v>
      </c>
      <c r="D304" s="23" t="s">
        <v>15</v>
      </c>
      <c r="E304" s="10" t="s">
        <v>1222</v>
      </c>
      <c r="F304" s="3" t="n">
        <v>1</v>
      </c>
      <c r="G304" s="5" t="s">
        <v>1740</v>
      </c>
    </row>
    <row r="305" customFormat="false" ht="15" hidden="false" customHeight="false" outlineLevel="0" collapsed="false">
      <c r="A305" s="3" t="n">
        <v>304</v>
      </c>
      <c r="B305" s="8" t="s">
        <v>1224</v>
      </c>
      <c r="C305" s="3" t="s">
        <v>21</v>
      </c>
      <c r="D305" s="23" t="s">
        <v>15</v>
      </c>
      <c r="E305" s="5" t="s">
        <v>1225</v>
      </c>
      <c r="F305" s="3" t="n">
        <v>1</v>
      </c>
      <c r="G305" s="5" t="s">
        <v>1740</v>
      </c>
    </row>
    <row r="306" customFormat="false" ht="15" hidden="false" customHeight="false" outlineLevel="0" collapsed="false">
      <c r="A306" s="3" t="n">
        <v>305</v>
      </c>
      <c r="B306" s="8" t="s">
        <v>1229</v>
      </c>
      <c r="C306" s="3" t="s">
        <v>142</v>
      </c>
      <c r="D306" s="23" t="s">
        <v>15</v>
      </c>
      <c r="E306" s="5" t="s">
        <v>1230</v>
      </c>
      <c r="F306" s="3" t="n">
        <v>1</v>
      </c>
      <c r="G306" s="5" t="s">
        <v>1740</v>
      </c>
    </row>
    <row r="307" customFormat="false" ht="15" hidden="false" customHeight="false" outlineLevel="0" collapsed="false">
      <c r="A307" s="3" t="n">
        <v>306</v>
      </c>
      <c r="B307" s="8" t="s">
        <v>1235</v>
      </c>
      <c r="C307" s="3" t="s">
        <v>21</v>
      </c>
      <c r="D307" s="23" t="s">
        <v>15</v>
      </c>
      <c r="E307" s="5" t="s">
        <v>1236</v>
      </c>
      <c r="F307" s="3" t="n">
        <v>1</v>
      </c>
      <c r="G307" s="5" t="s">
        <v>1741</v>
      </c>
    </row>
    <row r="308" customFormat="false" ht="15" hidden="false" customHeight="false" outlineLevel="0" collapsed="false">
      <c r="A308" s="3" t="n">
        <v>307</v>
      </c>
      <c r="B308" s="8" t="s">
        <v>1238</v>
      </c>
      <c r="C308" s="3" t="s">
        <v>57</v>
      </c>
      <c r="D308" s="23" t="s">
        <v>15</v>
      </c>
      <c r="E308" s="10" t="s">
        <v>1239</v>
      </c>
      <c r="F308" s="3" t="n">
        <v>1</v>
      </c>
      <c r="G308" s="5" t="s">
        <v>1741</v>
      </c>
    </row>
    <row r="309" customFormat="false" ht="15" hidden="false" customHeight="false" outlineLevel="0" collapsed="false">
      <c r="A309" s="3" t="n">
        <v>308</v>
      </c>
      <c r="B309" s="8" t="s">
        <v>1241</v>
      </c>
      <c r="C309" s="3" t="s">
        <v>57</v>
      </c>
      <c r="D309" s="23" t="s">
        <v>15</v>
      </c>
      <c r="E309" s="10" t="s">
        <v>1242</v>
      </c>
      <c r="F309" s="3" t="n">
        <v>1</v>
      </c>
      <c r="G309" s="5" t="s">
        <v>1741</v>
      </c>
    </row>
    <row r="310" customFormat="false" ht="15" hidden="false" customHeight="false" outlineLevel="0" collapsed="false">
      <c r="A310" s="3" t="n">
        <v>309</v>
      </c>
      <c r="B310" s="8" t="s">
        <v>1244</v>
      </c>
      <c r="C310" s="3" t="s">
        <v>57</v>
      </c>
      <c r="D310" s="23" t="s">
        <v>15</v>
      </c>
      <c r="E310" s="10" t="s">
        <v>1245</v>
      </c>
      <c r="F310" s="3" t="n">
        <v>1</v>
      </c>
      <c r="G310" s="5" t="s">
        <v>1741</v>
      </c>
    </row>
    <row r="311" customFormat="false" ht="15" hidden="false" customHeight="false" outlineLevel="0" collapsed="false">
      <c r="A311" s="3" t="n">
        <v>310</v>
      </c>
      <c r="B311" s="8" t="s">
        <v>1247</v>
      </c>
      <c r="C311" s="3" t="s">
        <v>53</v>
      </c>
      <c r="D311" s="23" t="s">
        <v>111</v>
      </c>
      <c r="E311" s="5" t="s">
        <v>1248</v>
      </c>
      <c r="F311" s="3" t="n">
        <v>1</v>
      </c>
      <c r="G311" s="5" t="s">
        <v>1741</v>
      </c>
    </row>
    <row r="312" customFormat="false" ht="15" hidden="false" customHeight="false" outlineLevel="0" collapsed="false">
      <c r="A312" s="3" t="n">
        <v>311</v>
      </c>
      <c r="B312" s="8" t="s">
        <v>1253</v>
      </c>
      <c r="C312" s="3" t="s">
        <v>17</v>
      </c>
      <c r="D312" s="23" t="s">
        <v>15</v>
      </c>
      <c r="E312" s="5" t="s">
        <v>1254</v>
      </c>
      <c r="F312" s="3" t="n">
        <v>1</v>
      </c>
      <c r="G312" s="5" t="s">
        <v>1742</v>
      </c>
    </row>
    <row r="313" customFormat="false" ht="15" hidden="false" customHeight="false" outlineLevel="0" collapsed="false">
      <c r="A313" s="3" t="n">
        <v>312</v>
      </c>
      <c r="B313" s="8" t="s">
        <v>1256</v>
      </c>
      <c r="C313" s="3" t="s">
        <v>17</v>
      </c>
      <c r="D313" s="23" t="s">
        <v>15</v>
      </c>
      <c r="E313" s="5" t="s">
        <v>1257</v>
      </c>
      <c r="F313" s="3" t="n">
        <v>1</v>
      </c>
      <c r="G313" s="5" t="s">
        <v>1742</v>
      </c>
    </row>
    <row r="314" customFormat="false" ht="15" hidden="false" customHeight="false" outlineLevel="0" collapsed="false">
      <c r="A314" s="3" t="n">
        <v>313</v>
      </c>
      <c r="B314" s="8" t="s">
        <v>1259</v>
      </c>
      <c r="C314" s="3" t="s">
        <v>17</v>
      </c>
      <c r="D314" s="23" t="s">
        <v>15</v>
      </c>
      <c r="E314" s="5" t="s">
        <v>1260</v>
      </c>
      <c r="F314" s="3" t="n">
        <v>1</v>
      </c>
      <c r="G314" s="5" t="s">
        <v>1742</v>
      </c>
    </row>
    <row r="315" customFormat="false" ht="15" hidden="false" customHeight="false" outlineLevel="0" collapsed="false">
      <c r="A315" s="3" t="n">
        <v>314</v>
      </c>
      <c r="B315" s="8" t="s">
        <v>1262</v>
      </c>
      <c r="C315" s="3" t="s">
        <v>57</v>
      </c>
      <c r="D315" s="23" t="s">
        <v>15</v>
      </c>
      <c r="E315" s="10" t="s">
        <v>1263</v>
      </c>
      <c r="F315" s="3" t="n">
        <v>1</v>
      </c>
      <c r="G315" s="5" t="s">
        <v>1742</v>
      </c>
    </row>
    <row r="316" customFormat="false" ht="15" hidden="false" customHeight="false" outlineLevel="0" collapsed="false">
      <c r="A316" s="3" t="n">
        <v>315</v>
      </c>
      <c r="B316" s="8" t="s">
        <v>1268</v>
      </c>
      <c r="C316" s="3" t="s">
        <v>108</v>
      </c>
      <c r="D316" s="23" t="s">
        <v>15</v>
      </c>
      <c r="E316" s="5" t="s">
        <v>1269</v>
      </c>
      <c r="F316" s="3" t="n">
        <v>1</v>
      </c>
      <c r="G316" s="5" t="s">
        <v>1742</v>
      </c>
    </row>
    <row r="317" customFormat="false" ht="15" hidden="false" customHeight="false" outlineLevel="0" collapsed="false">
      <c r="A317" s="3" t="n">
        <v>316</v>
      </c>
      <c r="B317" s="8" t="s">
        <v>1274</v>
      </c>
      <c r="C317" s="3" t="s">
        <v>21</v>
      </c>
      <c r="D317" s="23" t="s">
        <v>15</v>
      </c>
      <c r="E317" s="5" t="s">
        <v>1275</v>
      </c>
      <c r="F317" s="3" t="n">
        <v>1</v>
      </c>
      <c r="G317" s="5" t="s">
        <v>1743</v>
      </c>
    </row>
    <row r="318" customFormat="false" ht="15" hidden="false" customHeight="false" outlineLevel="0" collapsed="false">
      <c r="A318" s="3" t="n">
        <v>317</v>
      </c>
      <c r="B318" s="8" t="s">
        <v>1276</v>
      </c>
      <c r="C318" s="3" t="s">
        <v>29</v>
      </c>
      <c r="D318" s="23" t="s">
        <v>15</v>
      </c>
      <c r="E318" s="5" t="s">
        <v>1277</v>
      </c>
      <c r="F318" s="3" t="n">
        <v>1</v>
      </c>
      <c r="G318" s="5" t="s">
        <v>1743</v>
      </c>
    </row>
    <row r="319" customFormat="false" ht="15" hidden="false" customHeight="false" outlineLevel="0" collapsed="false">
      <c r="A319" s="3" t="n">
        <v>318</v>
      </c>
      <c r="B319" s="8" t="s">
        <v>1279</v>
      </c>
      <c r="C319" s="3" t="s">
        <v>53</v>
      </c>
      <c r="D319" s="23" t="s">
        <v>111</v>
      </c>
      <c r="E319" s="5" t="s">
        <v>1280</v>
      </c>
      <c r="F319" s="3" t="n">
        <v>1</v>
      </c>
      <c r="G319" s="5" t="s">
        <v>1743</v>
      </c>
    </row>
    <row r="320" customFormat="false" ht="15" hidden="false" customHeight="false" outlineLevel="0" collapsed="false">
      <c r="A320" s="3" t="n">
        <v>319</v>
      </c>
      <c r="B320" s="8" t="s">
        <v>1282</v>
      </c>
      <c r="C320" s="3" t="s">
        <v>57</v>
      </c>
      <c r="D320" s="23" t="s">
        <v>15</v>
      </c>
      <c r="E320" s="10" t="s">
        <v>1283</v>
      </c>
      <c r="F320" s="3" t="n">
        <v>1</v>
      </c>
      <c r="G320" s="5" t="s">
        <v>1743</v>
      </c>
    </row>
    <row r="321" customFormat="false" ht="15" hidden="false" customHeight="false" outlineLevel="0" collapsed="false">
      <c r="A321" s="3" t="n">
        <v>320</v>
      </c>
      <c r="B321" s="8" t="s">
        <v>1286</v>
      </c>
      <c r="C321" s="3" t="s">
        <v>57</v>
      </c>
      <c r="D321" s="23" t="s">
        <v>15</v>
      </c>
      <c r="E321" s="10" t="s">
        <v>476</v>
      </c>
      <c r="F321" s="3" t="n">
        <v>1</v>
      </c>
      <c r="G321" s="5" t="s">
        <v>1744</v>
      </c>
    </row>
    <row r="322" customFormat="false" ht="15" hidden="false" customHeight="false" outlineLevel="0" collapsed="false">
      <c r="A322" s="3" t="n">
        <v>321</v>
      </c>
      <c r="B322" s="8" t="s">
        <v>1288</v>
      </c>
      <c r="C322" s="3" t="s">
        <v>57</v>
      </c>
      <c r="D322" s="23" t="s">
        <v>15</v>
      </c>
      <c r="E322" s="10" t="s">
        <v>1289</v>
      </c>
      <c r="F322" s="3" t="n">
        <v>1</v>
      </c>
      <c r="G322" s="5" t="s">
        <v>1744</v>
      </c>
    </row>
    <row r="323" customFormat="false" ht="15" hidden="false" customHeight="false" outlineLevel="0" collapsed="false">
      <c r="A323" s="3" t="n">
        <v>322</v>
      </c>
      <c r="B323" s="8" t="s">
        <v>1291</v>
      </c>
      <c r="C323" s="3" t="s">
        <v>57</v>
      </c>
      <c r="D323" s="23" t="s">
        <v>15</v>
      </c>
      <c r="E323" s="10" t="s">
        <v>476</v>
      </c>
      <c r="F323" s="3" t="n">
        <v>1</v>
      </c>
      <c r="G323" s="5" t="s">
        <v>1744</v>
      </c>
    </row>
    <row r="324" customFormat="false" ht="15" hidden="false" customHeight="false" outlineLevel="0" collapsed="false">
      <c r="A324" s="3" t="n">
        <v>323</v>
      </c>
      <c r="B324" s="8" t="s">
        <v>1293</v>
      </c>
      <c r="C324" s="3" t="s">
        <v>33</v>
      </c>
      <c r="D324" s="23" t="s">
        <v>15</v>
      </c>
      <c r="E324" s="5" t="s">
        <v>1294</v>
      </c>
      <c r="F324" s="3" t="n">
        <v>1</v>
      </c>
      <c r="G324" s="5" t="s">
        <v>1744</v>
      </c>
    </row>
    <row r="325" customFormat="false" ht="15" hidden="false" customHeight="false" outlineLevel="0" collapsed="false">
      <c r="A325" s="3" t="n">
        <v>324</v>
      </c>
      <c r="B325" s="8" t="s">
        <v>1296</v>
      </c>
      <c r="C325" s="3" t="s">
        <v>33</v>
      </c>
      <c r="D325" s="23" t="s">
        <v>15</v>
      </c>
      <c r="E325" s="5" t="s">
        <v>1297</v>
      </c>
      <c r="F325" s="3" t="n">
        <v>1</v>
      </c>
      <c r="G325" s="5" t="s">
        <v>1744</v>
      </c>
    </row>
    <row r="326" customFormat="false" ht="15" hidden="false" customHeight="false" outlineLevel="0" collapsed="false">
      <c r="A326" s="3" t="n">
        <v>325</v>
      </c>
      <c r="B326" s="8" t="s">
        <v>1299</v>
      </c>
      <c r="C326" s="3" t="s">
        <v>53</v>
      </c>
      <c r="D326" s="23" t="s">
        <v>15</v>
      </c>
      <c r="E326" s="5" t="s">
        <v>1300</v>
      </c>
      <c r="F326" s="3" t="n">
        <v>1</v>
      </c>
      <c r="G326" s="5" t="s">
        <v>1744</v>
      </c>
    </row>
    <row r="327" customFormat="false" ht="15" hidden="false" customHeight="false" outlineLevel="0" collapsed="false">
      <c r="A327" s="3" t="n">
        <v>326</v>
      </c>
      <c r="B327" s="8" t="s">
        <v>1303</v>
      </c>
      <c r="C327" s="3" t="s">
        <v>125</v>
      </c>
      <c r="D327" s="23" t="s">
        <v>15</v>
      </c>
      <c r="E327" s="5" t="s">
        <v>1304</v>
      </c>
      <c r="F327" s="3" t="n">
        <v>1</v>
      </c>
      <c r="G327" s="5" t="s">
        <v>1745</v>
      </c>
    </row>
    <row r="328" customFormat="false" ht="15" hidden="false" customHeight="false" outlineLevel="0" collapsed="false">
      <c r="A328" s="3" t="n">
        <v>327</v>
      </c>
      <c r="B328" s="8" t="s">
        <v>1306</v>
      </c>
      <c r="C328" s="3" t="s">
        <v>460</v>
      </c>
      <c r="D328" s="23" t="s">
        <v>111</v>
      </c>
      <c r="E328" s="5" t="s">
        <v>1307</v>
      </c>
      <c r="F328" s="3" t="n">
        <v>1</v>
      </c>
      <c r="G328" s="5" t="s">
        <v>1745</v>
      </c>
    </row>
    <row r="329" customFormat="false" ht="15" hidden="false" customHeight="false" outlineLevel="0" collapsed="false">
      <c r="A329" s="3" t="n">
        <v>328</v>
      </c>
      <c r="B329" s="8" t="s">
        <v>1309</v>
      </c>
      <c r="C329" s="3" t="s">
        <v>331</v>
      </c>
      <c r="D329" s="23" t="s">
        <v>111</v>
      </c>
      <c r="E329" s="5" t="s">
        <v>1310</v>
      </c>
      <c r="F329" s="3" t="n">
        <v>1</v>
      </c>
      <c r="G329" s="5" t="s">
        <v>1745</v>
      </c>
    </row>
    <row r="330" customFormat="false" ht="15" hidden="false" customHeight="false" outlineLevel="0" collapsed="false">
      <c r="A330" s="3" t="n">
        <v>329</v>
      </c>
      <c r="B330" s="8" t="s">
        <v>1312</v>
      </c>
      <c r="C330" s="3" t="s">
        <v>53</v>
      </c>
      <c r="D330" s="23" t="s">
        <v>111</v>
      </c>
      <c r="E330" s="5" t="s">
        <v>1313</v>
      </c>
      <c r="F330" s="3" t="n">
        <v>1</v>
      </c>
      <c r="G330" s="5" t="s">
        <v>1745</v>
      </c>
    </row>
    <row r="331" customFormat="false" ht="15" hidden="false" customHeight="false" outlineLevel="0" collapsed="false">
      <c r="A331" s="3" t="n">
        <v>330</v>
      </c>
      <c r="B331" s="8" t="s">
        <v>1315</v>
      </c>
      <c r="C331" s="3" t="s">
        <v>53</v>
      </c>
      <c r="D331" s="23" t="s">
        <v>15</v>
      </c>
      <c r="E331" s="5" t="s">
        <v>1316</v>
      </c>
      <c r="F331" s="3" t="n">
        <v>1</v>
      </c>
      <c r="G331" s="5" t="s">
        <v>1745</v>
      </c>
    </row>
    <row r="332" customFormat="false" ht="15" hidden="false" customHeight="false" outlineLevel="0" collapsed="false">
      <c r="A332" s="3" t="n">
        <v>331</v>
      </c>
      <c r="B332" s="8" t="s">
        <v>1318</v>
      </c>
      <c r="C332" s="3" t="s">
        <v>25</v>
      </c>
      <c r="D332" s="23" t="s">
        <v>15</v>
      </c>
      <c r="E332" s="10" t="s">
        <v>1319</v>
      </c>
      <c r="F332" s="3" t="n">
        <v>1</v>
      </c>
      <c r="G332" s="5" t="s">
        <v>1745</v>
      </c>
    </row>
    <row r="333" customFormat="false" ht="15" hidden="false" customHeight="false" outlineLevel="0" collapsed="false">
      <c r="A333" s="3" t="n">
        <v>332</v>
      </c>
      <c r="B333" s="8" t="s">
        <v>1322</v>
      </c>
      <c r="C333" s="3" t="s">
        <v>331</v>
      </c>
      <c r="D333" s="23" t="s">
        <v>111</v>
      </c>
      <c r="E333" s="5" t="s">
        <v>1323</v>
      </c>
      <c r="F333" s="3" t="n">
        <v>1</v>
      </c>
      <c r="G333" s="5" t="s">
        <v>1746</v>
      </c>
    </row>
    <row r="334" customFormat="false" ht="15" hidden="false" customHeight="false" outlineLevel="0" collapsed="false">
      <c r="A334" s="3" t="n">
        <v>333</v>
      </c>
      <c r="B334" s="8" t="s">
        <v>1325</v>
      </c>
      <c r="C334" s="3" t="s">
        <v>331</v>
      </c>
      <c r="D334" s="23" t="s">
        <v>111</v>
      </c>
      <c r="E334" s="5" t="s">
        <v>1326</v>
      </c>
      <c r="F334" s="3" t="n">
        <v>1</v>
      </c>
      <c r="G334" s="5" t="s">
        <v>1746</v>
      </c>
    </row>
    <row r="335" customFormat="false" ht="15" hidden="false" customHeight="false" outlineLevel="0" collapsed="false">
      <c r="A335" s="3" t="n">
        <v>334</v>
      </c>
      <c r="B335" s="8" t="s">
        <v>1328</v>
      </c>
      <c r="C335" s="3" t="s">
        <v>331</v>
      </c>
      <c r="D335" s="23" t="s">
        <v>111</v>
      </c>
      <c r="E335" s="5" t="s">
        <v>1329</v>
      </c>
      <c r="F335" s="3" t="n">
        <v>1</v>
      </c>
      <c r="G335" s="5" t="s">
        <v>1746</v>
      </c>
    </row>
    <row r="336" customFormat="false" ht="15" hidden="false" customHeight="false" outlineLevel="0" collapsed="false">
      <c r="A336" s="3" t="n">
        <v>335</v>
      </c>
      <c r="B336" s="8" t="s">
        <v>1331</v>
      </c>
      <c r="C336" s="3" t="s">
        <v>331</v>
      </c>
      <c r="D336" s="23" t="s">
        <v>111</v>
      </c>
      <c r="E336" s="5" t="s">
        <v>1332</v>
      </c>
      <c r="F336" s="3" t="n">
        <v>1</v>
      </c>
      <c r="G336" s="5" t="s">
        <v>1746</v>
      </c>
    </row>
    <row r="337" customFormat="false" ht="15" hidden="false" customHeight="false" outlineLevel="0" collapsed="false">
      <c r="A337" s="3" t="n">
        <v>336</v>
      </c>
      <c r="B337" s="8" t="s">
        <v>1334</v>
      </c>
      <c r="C337" s="3" t="s">
        <v>331</v>
      </c>
      <c r="D337" s="23" t="s">
        <v>111</v>
      </c>
      <c r="E337" s="5" t="s">
        <v>1335</v>
      </c>
      <c r="F337" s="3" t="n">
        <v>1</v>
      </c>
      <c r="G337" s="5" t="s">
        <v>1746</v>
      </c>
    </row>
    <row r="338" customFormat="false" ht="15" hidden="false" customHeight="false" outlineLevel="0" collapsed="false">
      <c r="A338" s="3" t="n">
        <v>337</v>
      </c>
      <c r="B338" s="8" t="s">
        <v>1337</v>
      </c>
      <c r="C338" s="3" t="s">
        <v>53</v>
      </c>
      <c r="D338" s="23" t="s">
        <v>15</v>
      </c>
      <c r="E338" s="5" t="s">
        <v>1338</v>
      </c>
      <c r="F338" s="3" t="n">
        <v>1</v>
      </c>
      <c r="G338" s="5" t="s">
        <v>1746</v>
      </c>
    </row>
    <row r="339" customFormat="false" ht="15" hidden="false" customHeight="false" outlineLevel="0" collapsed="false">
      <c r="A339" s="3" t="n">
        <v>338</v>
      </c>
      <c r="B339" s="8" t="s">
        <v>1341</v>
      </c>
      <c r="C339" s="3" t="s">
        <v>29</v>
      </c>
      <c r="D339" s="23" t="s">
        <v>15</v>
      </c>
      <c r="E339" s="10" t="s">
        <v>1342</v>
      </c>
      <c r="F339" s="3" t="n">
        <v>1</v>
      </c>
      <c r="G339" s="5" t="s">
        <v>1747</v>
      </c>
    </row>
    <row r="340" customFormat="false" ht="15" hidden="false" customHeight="false" outlineLevel="0" collapsed="false">
      <c r="A340" s="3" t="n">
        <v>339</v>
      </c>
      <c r="B340" s="8" t="s">
        <v>1344</v>
      </c>
      <c r="C340" s="3" t="s">
        <v>460</v>
      </c>
      <c r="D340" s="23" t="s">
        <v>15</v>
      </c>
      <c r="E340" s="5" t="s">
        <v>1345</v>
      </c>
      <c r="F340" s="3" t="n">
        <v>1</v>
      </c>
      <c r="G340" s="5" t="s">
        <v>1747</v>
      </c>
    </row>
    <row r="341" customFormat="false" ht="15" hidden="false" customHeight="false" outlineLevel="0" collapsed="false">
      <c r="A341" s="3" t="n">
        <v>340</v>
      </c>
      <c r="B341" s="8" t="s">
        <v>1347</v>
      </c>
      <c r="C341" s="3" t="s">
        <v>460</v>
      </c>
      <c r="D341" s="23" t="s">
        <v>111</v>
      </c>
      <c r="E341" s="5" t="s">
        <v>1348</v>
      </c>
      <c r="F341" s="3" t="n">
        <v>1</v>
      </c>
      <c r="G341" s="5" t="s">
        <v>1747</v>
      </c>
    </row>
    <row r="342" customFormat="false" ht="15" hidden="false" customHeight="false" outlineLevel="0" collapsed="false">
      <c r="A342" s="3" t="n">
        <v>341</v>
      </c>
      <c r="B342" s="8" t="s">
        <v>1350</v>
      </c>
      <c r="C342" s="3" t="s">
        <v>331</v>
      </c>
      <c r="D342" s="23" t="s">
        <v>111</v>
      </c>
      <c r="E342" s="5" t="s">
        <v>1351</v>
      </c>
      <c r="F342" s="3" t="n">
        <v>1</v>
      </c>
      <c r="G342" s="5" t="s">
        <v>1747</v>
      </c>
    </row>
    <row r="343" customFormat="false" ht="15" hidden="false" customHeight="false" outlineLevel="0" collapsed="false">
      <c r="A343" s="3" t="n">
        <v>342</v>
      </c>
      <c r="B343" s="8" t="s">
        <v>1353</v>
      </c>
      <c r="C343" s="3" t="s">
        <v>331</v>
      </c>
      <c r="D343" s="23" t="s">
        <v>111</v>
      </c>
      <c r="E343" s="5" t="s">
        <v>1354</v>
      </c>
      <c r="F343" s="3" t="n">
        <v>1</v>
      </c>
      <c r="G343" s="5" t="s">
        <v>1747</v>
      </c>
    </row>
    <row r="344" customFormat="false" ht="15" hidden="false" customHeight="false" outlineLevel="0" collapsed="false">
      <c r="A344" s="3" t="n">
        <v>343</v>
      </c>
      <c r="B344" s="8" t="s">
        <v>1355</v>
      </c>
      <c r="C344" s="3" t="s">
        <v>29</v>
      </c>
      <c r="D344" s="23" t="s">
        <v>15</v>
      </c>
      <c r="E344" s="5" t="s">
        <v>1356</v>
      </c>
      <c r="F344" s="3" t="n">
        <v>1</v>
      </c>
      <c r="G344" s="5" t="s">
        <v>1747</v>
      </c>
    </row>
    <row r="345" customFormat="false" ht="15" hidden="false" customHeight="false" outlineLevel="0" collapsed="false">
      <c r="A345" s="3" t="n">
        <v>344</v>
      </c>
      <c r="B345" s="8" t="s">
        <v>1359</v>
      </c>
      <c r="C345" s="3" t="s">
        <v>460</v>
      </c>
      <c r="D345" s="23" t="s">
        <v>111</v>
      </c>
      <c r="E345" s="5" t="s">
        <v>1360</v>
      </c>
      <c r="F345" s="3" t="n">
        <v>1</v>
      </c>
      <c r="G345" s="5" t="s">
        <v>1748</v>
      </c>
    </row>
    <row r="346" customFormat="false" ht="15" hidden="false" customHeight="false" outlineLevel="0" collapsed="false">
      <c r="A346" s="3" t="n">
        <v>345</v>
      </c>
      <c r="B346" s="8" t="s">
        <v>1362</v>
      </c>
      <c r="C346" s="3" t="s">
        <v>460</v>
      </c>
      <c r="D346" s="23" t="s">
        <v>111</v>
      </c>
      <c r="E346" s="5" t="s">
        <v>1363</v>
      </c>
      <c r="F346" s="3" t="n">
        <v>1</v>
      </c>
      <c r="G346" s="5" t="s">
        <v>1748</v>
      </c>
    </row>
    <row r="347" customFormat="false" ht="15" hidden="false" customHeight="false" outlineLevel="0" collapsed="false">
      <c r="A347" s="3" t="n">
        <v>346</v>
      </c>
      <c r="B347" s="8" t="s">
        <v>1365</v>
      </c>
      <c r="C347" s="3" t="s">
        <v>1014</v>
      </c>
      <c r="D347" s="23" t="s">
        <v>111</v>
      </c>
      <c r="E347" s="5" t="s">
        <v>1366</v>
      </c>
      <c r="F347" s="3" t="n">
        <v>1</v>
      </c>
      <c r="G347" s="5" t="s">
        <v>1748</v>
      </c>
    </row>
    <row r="348" customFormat="false" ht="15" hidden="false" customHeight="false" outlineLevel="0" collapsed="false">
      <c r="A348" s="3" t="n">
        <v>347</v>
      </c>
      <c r="B348" s="8" t="s">
        <v>1368</v>
      </c>
      <c r="C348" s="3" t="s">
        <v>331</v>
      </c>
      <c r="D348" s="23" t="s">
        <v>111</v>
      </c>
      <c r="E348" s="5" t="s">
        <v>1369</v>
      </c>
      <c r="F348" s="3" t="n">
        <v>1</v>
      </c>
      <c r="G348" s="5" t="s">
        <v>1748</v>
      </c>
    </row>
    <row r="349" customFormat="false" ht="15" hidden="false" customHeight="false" outlineLevel="0" collapsed="false">
      <c r="A349" s="3" t="n">
        <v>348</v>
      </c>
      <c r="B349" s="8" t="s">
        <v>1371</v>
      </c>
      <c r="C349" s="3" t="s">
        <v>25</v>
      </c>
      <c r="D349" s="23" t="s">
        <v>15</v>
      </c>
      <c r="E349" s="10" t="s">
        <v>1372</v>
      </c>
      <c r="F349" s="3" t="n">
        <v>1</v>
      </c>
      <c r="G349" s="5" t="s">
        <v>1748</v>
      </c>
    </row>
    <row r="350" customFormat="false" ht="15" hidden="false" customHeight="false" outlineLevel="0" collapsed="false">
      <c r="A350" s="3" t="n">
        <v>349</v>
      </c>
      <c r="B350" s="8" t="s">
        <v>1374</v>
      </c>
      <c r="C350" s="3" t="s">
        <v>460</v>
      </c>
      <c r="D350" s="23" t="s">
        <v>15</v>
      </c>
      <c r="E350" s="5" t="s">
        <v>1375</v>
      </c>
      <c r="F350" s="3" t="n">
        <v>1</v>
      </c>
      <c r="G350" s="5" t="s">
        <v>1748</v>
      </c>
    </row>
    <row r="351" customFormat="false" ht="15" hidden="false" customHeight="false" outlineLevel="0" collapsed="false">
      <c r="A351" s="3" t="n">
        <v>350</v>
      </c>
      <c r="B351" s="8" t="s">
        <v>1407</v>
      </c>
      <c r="C351" s="3" t="s">
        <v>331</v>
      </c>
      <c r="D351" s="23" t="s">
        <v>111</v>
      </c>
      <c r="E351" s="5" t="s">
        <v>1408</v>
      </c>
      <c r="F351" s="3" t="n">
        <v>1</v>
      </c>
      <c r="G351" s="5" t="s">
        <v>1749</v>
      </c>
    </row>
    <row r="352" customFormat="false" ht="15" hidden="false" customHeight="false" outlineLevel="0" collapsed="false">
      <c r="A352" s="3" t="n">
        <v>351</v>
      </c>
      <c r="B352" s="8" t="s">
        <v>1410</v>
      </c>
      <c r="C352" s="3" t="s">
        <v>57</v>
      </c>
      <c r="D352" s="23" t="s">
        <v>111</v>
      </c>
      <c r="E352" s="5" t="s">
        <v>1411</v>
      </c>
      <c r="F352" s="3" t="n">
        <v>1</v>
      </c>
      <c r="G352" s="5" t="s">
        <v>1749</v>
      </c>
    </row>
    <row r="353" customFormat="false" ht="15" hidden="false" customHeight="false" outlineLevel="0" collapsed="false">
      <c r="A353" s="3" t="n">
        <v>352</v>
      </c>
      <c r="B353" s="8" t="s">
        <v>1426</v>
      </c>
      <c r="C353" s="3" t="s">
        <v>80</v>
      </c>
      <c r="D353" s="23" t="s">
        <v>15</v>
      </c>
      <c r="E353" s="5" t="s">
        <v>1427</v>
      </c>
      <c r="F353" s="3" t="n">
        <v>1</v>
      </c>
      <c r="G353" s="5" t="s">
        <v>1750</v>
      </c>
    </row>
    <row r="354" customFormat="false" ht="15" hidden="false" customHeight="false" outlineLevel="0" collapsed="false">
      <c r="A354" s="3" t="n">
        <v>353</v>
      </c>
      <c r="B354" s="8" t="s">
        <v>1429</v>
      </c>
      <c r="C354" s="3" t="s">
        <v>80</v>
      </c>
      <c r="D354" s="23" t="s">
        <v>111</v>
      </c>
      <c r="E354" s="5" t="s">
        <v>1430</v>
      </c>
      <c r="F354" s="3" t="n">
        <v>1</v>
      </c>
      <c r="G354" s="5" t="s">
        <v>1750</v>
      </c>
    </row>
    <row r="355" customFormat="false" ht="15" hidden="false" customHeight="false" outlineLevel="0" collapsed="false">
      <c r="A355" s="3" t="n">
        <v>354</v>
      </c>
      <c r="B355" s="8" t="s">
        <v>1433</v>
      </c>
      <c r="C355" s="3" t="s">
        <v>538</v>
      </c>
      <c r="D355" s="23" t="s">
        <v>111</v>
      </c>
      <c r="E355" s="5" t="s">
        <v>1434</v>
      </c>
      <c r="F355" s="3" t="n">
        <v>1</v>
      </c>
      <c r="G355" s="5" t="s">
        <v>1751</v>
      </c>
    </row>
    <row r="356" customFormat="false" ht="15" hidden="false" customHeight="false" outlineLevel="0" collapsed="false">
      <c r="A356" s="3" t="n">
        <v>355</v>
      </c>
      <c r="B356" s="8" t="s">
        <v>1436</v>
      </c>
      <c r="C356" s="3" t="s">
        <v>681</v>
      </c>
      <c r="D356" s="23" t="s">
        <v>111</v>
      </c>
      <c r="E356" s="5" t="s">
        <v>1437</v>
      </c>
      <c r="F356" s="3" t="n">
        <v>1</v>
      </c>
      <c r="G356" s="5" t="s">
        <v>1751</v>
      </c>
    </row>
    <row r="357" customFormat="false" ht="15" hidden="false" customHeight="false" outlineLevel="0" collapsed="false">
      <c r="A357" s="3" t="n">
        <v>356</v>
      </c>
      <c r="B357" s="8" t="s">
        <v>1443</v>
      </c>
      <c r="C357" s="3" t="s">
        <v>331</v>
      </c>
      <c r="D357" s="23" t="s">
        <v>111</v>
      </c>
      <c r="E357" s="5" t="s">
        <v>1444</v>
      </c>
      <c r="F357" s="3" t="n">
        <v>1</v>
      </c>
      <c r="G357" s="5" t="s">
        <v>1751</v>
      </c>
    </row>
    <row r="358" customFormat="false" ht="15" hidden="false" customHeight="false" outlineLevel="0" collapsed="false">
      <c r="A358" s="3" t="n">
        <v>357</v>
      </c>
      <c r="B358" s="8" t="s">
        <v>1446</v>
      </c>
      <c r="C358" s="3" t="s">
        <v>53</v>
      </c>
      <c r="D358" s="23" t="s">
        <v>111</v>
      </c>
      <c r="E358" s="5" t="s">
        <v>1447</v>
      </c>
      <c r="F358" s="3" t="n">
        <v>1</v>
      </c>
      <c r="G358" s="5" t="s">
        <v>1751</v>
      </c>
    </row>
    <row r="359" customFormat="false" ht="15" hidden="false" customHeight="false" outlineLevel="0" collapsed="false">
      <c r="A359" s="3" t="n">
        <v>358</v>
      </c>
      <c r="B359" s="8" t="s">
        <v>1465</v>
      </c>
      <c r="C359" s="3" t="s">
        <v>681</v>
      </c>
      <c r="D359" s="23" t="s">
        <v>111</v>
      </c>
      <c r="E359" s="5" t="s">
        <v>1466</v>
      </c>
      <c r="F359" s="3" t="n">
        <v>1</v>
      </c>
      <c r="G359" s="5" t="s">
        <v>1752</v>
      </c>
    </row>
    <row r="360" customFormat="false" ht="15" hidden="false" customHeight="false" outlineLevel="0" collapsed="false">
      <c r="A360" s="3" t="n">
        <v>359</v>
      </c>
      <c r="B360" s="8" t="s">
        <v>1469</v>
      </c>
      <c r="C360" s="3" t="s">
        <v>871</v>
      </c>
      <c r="D360" s="23" t="s">
        <v>111</v>
      </c>
      <c r="E360" s="5" t="s">
        <v>1470</v>
      </c>
      <c r="F360" s="3" t="n">
        <v>1</v>
      </c>
      <c r="G360" s="5" t="s">
        <v>1753</v>
      </c>
    </row>
    <row r="361" customFormat="false" ht="15" hidden="false" customHeight="false" outlineLevel="0" collapsed="false">
      <c r="A361" s="3" t="n">
        <v>360</v>
      </c>
      <c r="B361" s="8" t="s">
        <v>1472</v>
      </c>
      <c r="C361" s="3" t="s">
        <v>25</v>
      </c>
      <c r="D361" s="23" t="s">
        <v>111</v>
      </c>
      <c r="E361" s="5" t="s">
        <v>1473</v>
      </c>
      <c r="F361" s="3" t="n">
        <v>1</v>
      </c>
      <c r="G361" s="5" t="s">
        <v>1753</v>
      </c>
    </row>
    <row r="362" customFormat="false" ht="15" hidden="false" customHeight="false" outlineLevel="0" collapsed="false">
      <c r="A362" s="3" t="n">
        <v>361</v>
      </c>
      <c r="B362" s="8" t="s">
        <v>1475</v>
      </c>
      <c r="C362" s="3" t="s">
        <v>65</v>
      </c>
      <c r="D362" s="23" t="s">
        <v>15</v>
      </c>
      <c r="E362" s="5" t="s">
        <v>1476</v>
      </c>
      <c r="F362" s="3" t="n">
        <v>1</v>
      </c>
      <c r="G362" s="5" t="s">
        <v>1753</v>
      </c>
    </row>
    <row r="363" customFormat="false" ht="15" hidden="false" customHeight="false" outlineLevel="0" collapsed="false">
      <c r="A363" s="3" t="n">
        <v>362</v>
      </c>
      <c r="B363" s="8" t="s">
        <v>1478</v>
      </c>
      <c r="C363" s="3" t="s">
        <v>17</v>
      </c>
      <c r="D363" s="23" t="s">
        <v>15</v>
      </c>
      <c r="E363" s="5" t="s">
        <v>1479</v>
      </c>
      <c r="F363" s="3" t="n">
        <v>1</v>
      </c>
      <c r="G363" s="5" t="s">
        <v>1753</v>
      </c>
    </row>
    <row r="364" customFormat="false" ht="15" hidden="false" customHeight="false" outlineLevel="0" collapsed="false">
      <c r="A364" s="3" t="n">
        <v>363</v>
      </c>
      <c r="B364" s="8" t="s">
        <v>1481</v>
      </c>
      <c r="C364" s="3" t="s">
        <v>871</v>
      </c>
      <c r="D364" s="23" t="s">
        <v>111</v>
      </c>
      <c r="E364" s="5" t="s">
        <v>1482</v>
      </c>
      <c r="F364" s="3" t="n">
        <v>1</v>
      </c>
      <c r="G364" s="5" t="s">
        <v>1753</v>
      </c>
    </row>
    <row r="365" customFormat="false" ht="15" hidden="false" customHeight="false" outlineLevel="0" collapsed="false">
      <c r="A365" s="3" t="n">
        <v>364</v>
      </c>
      <c r="B365" s="8" t="s">
        <v>1484</v>
      </c>
      <c r="C365" s="3" t="s">
        <v>331</v>
      </c>
      <c r="D365" s="23" t="s">
        <v>111</v>
      </c>
      <c r="E365" s="5" t="s">
        <v>1485</v>
      </c>
      <c r="F365" s="3" t="n">
        <v>1</v>
      </c>
      <c r="G365" s="5" t="s">
        <v>1753</v>
      </c>
    </row>
    <row r="366" customFormat="false" ht="15" hidden="false" customHeight="false" outlineLevel="0" collapsed="false">
      <c r="A366" s="3" t="n">
        <v>365</v>
      </c>
      <c r="B366" s="8" t="s">
        <v>1520</v>
      </c>
      <c r="C366" s="3" t="s">
        <v>871</v>
      </c>
      <c r="D366" s="23" t="s">
        <v>111</v>
      </c>
      <c r="E366" s="5" t="s">
        <v>1521</v>
      </c>
      <c r="F366" s="3" t="n">
        <v>1</v>
      </c>
      <c r="G366" s="5" t="s">
        <v>1754</v>
      </c>
    </row>
    <row r="367" customFormat="false" ht="15" hidden="false" customHeight="false" outlineLevel="0" collapsed="false">
      <c r="A367" s="3" t="n">
        <v>366</v>
      </c>
      <c r="B367" s="8" t="s">
        <v>1526</v>
      </c>
      <c r="C367" s="3" t="s">
        <v>72</v>
      </c>
      <c r="D367" s="23" t="s">
        <v>15</v>
      </c>
      <c r="E367" s="5" t="s">
        <v>1527</v>
      </c>
      <c r="F367" s="3" t="n">
        <v>1</v>
      </c>
      <c r="G367" s="5" t="s">
        <v>1755</v>
      </c>
    </row>
    <row r="368" customFormat="false" ht="15" hidden="false" customHeight="false" outlineLevel="0" collapsed="false">
      <c r="A368" s="3" t="n">
        <v>367</v>
      </c>
      <c r="B368" s="8" t="s">
        <v>1529</v>
      </c>
      <c r="C368" s="3" t="s">
        <v>80</v>
      </c>
      <c r="D368" s="23" t="s">
        <v>15</v>
      </c>
      <c r="E368" s="5" t="s">
        <v>1530</v>
      </c>
      <c r="F368" s="3" t="n">
        <v>1</v>
      </c>
      <c r="G368" s="5" t="s">
        <v>1755</v>
      </c>
    </row>
    <row r="369" customFormat="false" ht="15" hidden="false" customHeight="false" outlineLevel="0" collapsed="false">
      <c r="A369" s="3" t="n">
        <v>368</v>
      </c>
      <c r="B369" s="8" t="s">
        <v>1532</v>
      </c>
      <c r="C369" s="3" t="s">
        <v>57</v>
      </c>
      <c r="D369" s="23" t="s">
        <v>15</v>
      </c>
      <c r="E369" s="5" t="s">
        <v>1533</v>
      </c>
      <c r="F369" s="3" t="n">
        <v>1</v>
      </c>
      <c r="G369" s="5" t="s">
        <v>1755</v>
      </c>
    </row>
    <row r="370" customFormat="false" ht="15" hidden="false" customHeight="false" outlineLevel="0" collapsed="false">
      <c r="A370" s="3" t="n">
        <v>369</v>
      </c>
      <c r="B370" s="8" t="s">
        <v>1535</v>
      </c>
      <c r="C370" s="3" t="s">
        <v>17</v>
      </c>
      <c r="D370" s="23" t="s">
        <v>15</v>
      </c>
      <c r="E370" s="5" t="s">
        <v>1536</v>
      </c>
      <c r="F370" s="3" t="n">
        <v>1</v>
      </c>
      <c r="G370" s="5" t="s">
        <v>1755</v>
      </c>
    </row>
    <row r="371" customFormat="false" ht="15" hidden="false" customHeight="false" outlineLevel="0" collapsed="false">
      <c r="A371" s="3" t="n">
        <v>370</v>
      </c>
      <c r="B371" s="8" t="s">
        <v>1538</v>
      </c>
      <c r="C371" s="3" t="s">
        <v>53</v>
      </c>
      <c r="D371" s="23" t="s">
        <v>111</v>
      </c>
      <c r="E371" s="5" t="s">
        <v>1539</v>
      </c>
      <c r="F371" s="3" t="n">
        <v>1</v>
      </c>
      <c r="G371" s="5" t="s">
        <v>1755</v>
      </c>
    </row>
    <row r="372" customFormat="false" ht="15" hidden="false" customHeight="false" outlineLevel="0" collapsed="false">
      <c r="A372" s="3" t="n">
        <v>371</v>
      </c>
      <c r="B372" s="8" t="s">
        <v>1548</v>
      </c>
      <c r="C372" s="3" t="s">
        <v>29</v>
      </c>
      <c r="D372" s="23" t="s">
        <v>15</v>
      </c>
      <c r="E372" s="10" t="s">
        <v>1549</v>
      </c>
      <c r="F372" s="3" t="n">
        <v>1</v>
      </c>
      <c r="G372" s="5" t="s">
        <v>1756</v>
      </c>
    </row>
    <row r="373" customFormat="false" ht="15" hidden="false" customHeight="false" outlineLevel="0" collapsed="false">
      <c r="A373" s="3" t="n">
        <v>372</v>
      </c>
      <c r="B373" s="8" t="s">
        <v>1555</v>
      </c>
      <c r="C373" s="3" t="s">
        <v>57</v>
      </c>
      <c r="D373" s="23" t="s">
        <v>15</v>
      </c>
      <c r="E373" s="10" t="s">
        <v>1556</v>
      </c>
      <c r="F373" s="3" t="n">
        <v>1</v>
      </c>
      <c r="G373" s="5" t="s">
        <v>1756</v>
      </c>
    </row>
    <row r="374" customFormat="false" ht="15" hidden="false" customHeight="false" outlineLevel="0" collapsed="false">
      <c r="A374" s="3" t="n">
        <v>373</v>
      </c>
      <c r="B374" s="8" t="s">
        <v>1562</v>
      </c>
      <c r="C374" s="3" t="s">
        <v>17</v>
      </c>
      <c r="D374" s="23" t="s">
        <v>15</v>
      </c>
      <c r="E374" s="5" t="s">
        <v>1563</v>
      </c>
      <c r="F374" s="3" t="n">
        <v>1</v>
      </c>
      <c r="G374" s="5" t="s">
        <v>1757</v>
      </c>
    </row>
    <row r="375" customFormat="false" ht="15" hidden="false" customHeight="false" outlineLevel="0" collapsed="false">
      <c r="A375" s="3" t="n">
        <v>374</v>
      </c>
      <c r="B375" s="8" t="s">
        <v>1565</v>
      </c>
      <c r="C375" s="3" t="s">
        <v>57</v>
      </c>
      <c r="D375" s="23" t="s">
        <v>15</v>
      </c>
      <c r="E375" s="10" t="s">
        <v>1566</v>
      </c>
      <c r="F375" s="3" t="n">
        <v>1</v>
      </c>
      <c r="G375" s="5" t="s">
        <v>1757</v>
      </c>
    </row>
    <row r="376" customFormat="false" ht="15" hidden="false" customHeight="false" outlineLevel="0" collapsed="false">
      <c r="A376" s="3" t="n">
        <v>375</v>
      </c>
      <c r="B376" s="8" t="s">
        <v>1568</v>
      </c>
      <c r="C376" s="3" t="s">
        <v>17</v>
      </c>
      <c r="D376" s="23" t="s">
        <v>15</v>
      </c>
      <c r="E376" s="5" t="s">
        <v>1569</v>
      </c>
      <c r="F376" s="3" t="n">
        <v>1</v>
      </c>
      <c r="G376" s="5" t="s">
        <v>1757</v>
      </c>
    </row>
    <row r="377" customFormat="false" ht="15" hidden="false" customHeight="false" outlineLevel="0" collapsed="false">
      <c r="A377" s="3" t="n">
        <v>376</v>
      </c>
      <c r="B377" s="8" t="s">
        <v>1571</v>
      </c>
      <c r="C377" s="3" t="s">
        <v>21</v>
      </c>
      <c r="D377" s="23" t="s">
        <v>15</v>
      </c>
      <c r="E377" s="5" t="s">
        <v>1572</v>
      </c>
      <c r="F377" s="3" t="n">
        <v>1</v>
      </c>
      <c r="G377" s="5" t="s">
        <v>1757</v>
      </c>
    </row>
    <row r="378" customFormat="false" ht="15" hidden="false" customHeight="false" outlineLevel="0" collapsed="false">
      <c r="A378" s="3" t="n">
        <v>377</v>
      </c>
      <c r="B378" s="8" t="s">
        <v>1574</v>
      </c>
      <c r="C378" s="3" t="s">
        <v>142</v>
      </c>
      <c r="D378" s="23" t="s">
        <v>15</v>
      </c>
      <c r="E378" s="5" t="s">
        <v>1575</v>
      </c>
      <c r="F378" s="3" t="n">
        <v>1</v>
      </c>
      <c r="G378" s="5" t="s">
        <v>1757</v>
      </c>
    </row>
    <row r="379" customFormat="false" ht="15" hidden="false" customHeight="false" outlineLevel="0" collapsed="false">
      <c r="A379" s="3" t="n">
        <v>378</v>
      </c>
      <c r="B379" s="8" t="s">
        <v>1578</v>
      </c>
      <c r="C379" s="3" t="s">
        <v>57</v>
      </c>
      <c r="D379" s="23" t="s">
        <v>15</v>
      </c>
      <c r="E379" s="10" t="s">
        <v>1579</v>
      </c>
      <c r="F379" s="3" t="n">
        <v>1</v>
      </c>
      <c r="G379" s="5" t="s">
        <v>1758</v>
      </c>
    </row>
    <row r="380" customFormat="false" ht="15" hidden="false" customHeight="false" outlineLevel="0" collapsed="false">
      <c r="A380" s="3" t="n">
        <v>379</v>
      </c>
      <c r="B380" s="8" t="s">
        <v>1593</v>
      </c>
      <c r="C380" s="3" t="s">
        <v>76</v>
      </c>
      <c r="D380" s="23" t="s">
        <v>15</v>
      </c>
      <c r="E380" s="5" t="s">
        <v>1594</v>
      </c>
      <c r="F380" s="3" t="n">
        <v>1</v>
      </c>
      <c r="G380" s="5" t="s">
        <v>1758</v>
      </c>
    </row>
    <row r="381" customFormat="false" ht="15" hidden="false" customHeight="false" outlineLevel="0" collapsed="false">
      <c r="A381" s="3" t="n">
        <v>380</v>
      </c>
      <c r="B381" s="8" t="s">
        <v>1603</v>
      </c>
      <c r="C381" s="3" t="s">
        <v>331</v>
      </c>
      <c r="D381" s="23" t="s">
        <v>111</v>
      </c>
      <c r="E381" s="5" t="s">
        <v>1604</v>
      </c>
      <c r="F381" s="3" t="n">
        <v>1</v>
      </c>
      <c r="G381" s="5" t="s">
        <v>1759</v>
      </c>
    </row>
    <row r="382" customFormat="false" ht="15" hidden="false" customHeight="false" outlineLevel="0" collapsed="false">
      <c r="A382" s="3" t="n">
        <v>381</v>
      </c>
      <c r="B382" s="8" t="s">
        <v>1608</v>
      </c>
      <c r="C382" s="3" t="s">
        <v>331</v>
      </c>
      <c r="D382" s="23" t="s">
        <v>111</v>
      </c>
      <c r="E382" s="5" t="s">
        <v>1609</v>
      </c>
      <c r="F382" s="3" t="n">
        <v>1</v>
      </c>
      <c r="G382" s="5" t="s">
        <v>1759</v>
      </c>
    </row>
    <row r="383" customFormat="false" ht="15" hidden="false" customHeight="false" outlineLevel="0" collapsed="false">
      <c r="A383" s="3" t="n">
        <v>382</v>
      </c>
      <c r="B383" s="8" t="s">
        <v>1611</v>
      </c>
      <c r="C383" s="3" t="s">
        <v>21</v>
      </c>
      <c r="D383" s="23" t="s">
        <v>15</v>
      </c>
      <c r="E383" s="5" t="s">
        <v>1612</v>
      </c>
      <c r="F383" s="3" t="n">
        <v>1</v>
      </c>
      <c r="G383" s="5" t="s">
        <v>1759</v>
      </c>
    </row>
    <row r="384" customFormat="false" ht="15" hidden="false" customHeight="false" outlineLevel="0" collapsed="false">
      <c r="A384" s="3" t="n">
        <v>383</v>
      </c>
      <c r="B384" s="8" t="s">
        <v>1617</v>
      </c>
      <c r="C384" s="3" t="s">
        <v>1618</v>
      </c>
      <c r="D384" s="23" t="s">
        <v>15</v>
      </c>
      <c r="E384" s="5" t="s">
        <v>1619</v>
      </c>
      <c r="F384" s="3" t="n">
        <v>1</v>
      </c>
      <c r="G384" s="5" t="s">
        <v>1760</v>
      </c>
    </row>
    <row r="385" customFormat="false" ht="15" hidden="false" customHeight="false" outlineLevel="0" collapsed="false">
      <c r="A385" s="3" t="n">
        <v>384</v>
      </c>
      <c r="B385" s="8" t="s">
        <v>1621</v>
      </c>
      <c r="C385" s="3" t="s">
        <v>363</v>
      </c>
      <c r="D385" s="23" t="s">
        <v>15</v>
      </c>
      <c r="E385" s="5" t="s">
        <v>1622</v>
      </c>
      <c r="F385" s="3" t="n">
        <v>1</v>
      </c>
      <c r="G385" s="5" t="s">
        <v>1760</v>
      </c>
    </row>
    <row r="386" customFormat="false" ht="15" hidden="false" customHeight="false" outlineLevel="0" collapsed="false">
      <c r="A386" s="3" t="n">
        <v>385</v>
      </c>
      <c r="B386" s="8" t="s">
        <v>1624</v>
      </c>
      <c r="C386" s="3" t="s">
        <v>65</v>
      </c>
      <c r="D386" s="23" t="s">
        <v>15</v>
      </c>
      <c r="E386" s="5" t="s">
        <v>1625</v>
      </c>
      <c r="F386" s="3" t="n">
        <v>1</v>
      </c>
      <c r="G386" s="5" t="s">
        <v>1760</v>
      </c>
    </row>
    <row r="387" customFormat="false" ht="15" hidden="false" customHeight="false" outlineLevel="0" collapsed="false">
      <c r="A387" s="3" t="n">
        <v>386</v>
      </c>
      <c r="B387" s="8" t="s">
        <v>1627</v>
      </c>
      <c r="C387" s="3" t="s">
        <v>57</v>
      </c>
      <c r="D387" s="23" t="s">
        <v>15</v>
      </c>
      <c r="E387" s="10" t="s">
        <v>1628</v>
      </c>
      <c r="F387" s="3" t="n">
        <v>1</v>
      </c>
      <c r="G387" s="5" t="s">
        <v>1760</v>
      </c>
    </row>
    <row r="388" customFormat="false" ht="15" hidden="false" customHeight="false" outlineLevel="0" collapsed="false">
      <c r="A388" s="3" t="n">
        <v>387</v>
      </c>
      <c r="B388" s="8" t="s">
        <v>1640</v>
      </c>
      <c r="C388" s="3" t="s">
        <v>80</v>
      </c>
      <c r="D388" s="23" t="s">
        <v>15</v>
      </c>
      <c r="E388" s="5" t="s">
        <v>1641</v>
      </c>
      <c r="F388" s="3" t="n">
        <v>1</v>
      </c>
      <c r="G388" s="5" t="s">
        <v>1761</v>
      </c>
    </row>
    <row r="389" customFormat="false" ht="15" hidden="false" customHeight="false" outlineLevel="0" collapsed="false">
      <c r="A389" s="3" t="n">
        <v>388</v>
      </c>
      <c r="B389" s="8" t="s">
        <v>1643</v>
      </c>
      <c r="C389" s="3" t="s">
        <v>142</v>
      </c>
      <c r="D389" s="23" t="s">
        <v>15</v>
      </c>
      <c r="E389" s="5" t="s">
        <v>1644</v>
      </c>
      <c r="F389" s="3" t="n">
        <v>1</v>
      </c>
      <c r="G389" s="5" t="s">
        <v>1761</v>
      </c>
    </row>
    <row r="390" customFormat="false" ht="15" hidden="false" customHeight="false" outlineLevel="0" collapsed="false">
      <c r="A390" s="3" t="n">
        <v>389</v>
      </c>
      <c r="B390" s="8" t="s">
        <v>1649</v>
      </c>
      <c r="C390" s="3" t="s">
        <v>1014</v>
      </c>
      <c r="D390" s="23" t="s">
        <v>111</v>
      </c>
      <c r="E390" s="5" t="s">
        <v>1650</v>
      </c>
      <c r="F390" s="3" t="n">
        <v>1</v>
      </c>
      <c r="G390" s="5" t="s">
        <v>1762</v>
      </c>
    </row>
    <row r="391" customFormat="false" ht="15" hidden="false" customHeight="false" outlineLevel="0" collapsed="false">
      <c r="A391" s="3" t="n">
        <v>390</v>
      </c>
      <c r="B391" s="8" t="s">
        <v>1652</v>
      </c>
      <c r="C391" s="3" t="s">
        <v>1014</v>
      </c>
      <c r="D391" s="23" t="s">
        <v>111</v>
      </c>
      <c r="E391" s="5" t="s">
        <v>1653</v>
      </c>
      <c r="F391" s="3" t="n">
        <v>1</v>
      </c>
      <c r="G391" s="5" t="s">
        <v>1762</v>
      </c>
    </row>
    <row r="392" customFormat="false" ht="15" hidden="false" customHeight="false" outlineLevel="0" collapsed="false">
      <c r="A392" s="3" t="n">
        <v>391</v>
      </c>
      <c r="B392" s="8" t="s">
        <v>1655</v>
      </c>
      <c r="C392" s="3" t="s">
        <v>57</v>
      </c>
      <c r="D392" s="23" t="s">
        <v>15</v>
      </c>
      <c r="E392" s="10" t="s">
        <v>1656</v>
      </c>
      <c r="F392" s="3" t="n">
        <v>1</v>
      </c>
      <c r="G392" s="5" t="s">
        <v>1762</v>
      </c>
    </row>
    <row r="393" customFormat="false" ht="15" hidden="false" customHeight="false" outlineLevel="0" collapsed="false">
      <c r="A393" s="3" t="n">
        <v>392</v>
      </c>
      <c r="B393" s="8" t="s">
        <v>1658</v>
      </c>
      <c r="C393" s="3" t="s">
        <v>25</v>
      </c>
      <c r="D393" s="23" t="s">
        <v>15</v>
      </c>
      <c r="E393" s="10" t="s">
        <v>1659</v>
      </c>
      <c r="F393" s="3" t="n">
        <v>1</v>
      </c>
      <c r="G393" s="5" t="s">
        <v>1762</v>
      </c>
    </row>
  </sheetData>
  <autoFilter ref="A1:G3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0"/>
  </cols>
  <sheetData>
    <row r="1" customFormat="false" ht="25.5" hidden="false" customHeight="true" outlineLevel="0" collapsed="false">
      <c r="A1" s="2" t="s">
        <v>6</v>
      </c>
      <c r="B1" s="2" t="s">
        <v>1763</v>
      </c>
    </row>
    <row r="2" customFormat="false" ht="15" hidden="false" customHeight="false" outlineLevel="0" collapsed="false">
      <c r="A2" s="24" t="s">
        <v>1764</v>
      </c>
      <c r="B2" s="25"/>
    </row>
    <row r="3" customFormat="false" ht="15" hidden="false" customHeight="false" outlineLevel="0" collapsed="false">
      <c r="A3" s="26"/>
      <c r="B3" s="27" t="s">
        <v>1765</v>
      </c>
    </row>
    <row r="4" customFormat="false" ht="15" hidden="false" customHeight="false" outlineLevel="0" collapsed="false">
      <c r="A4" s="24"/>
      <c r="B4" s="25"/>
    </row>
    <row r="5" customFormat="false" ht="15" hidden="false" customHeight="false" outlineLevel="0" collapsed="false">
      <c r="A5" s="24" t="s">
        <v>6</v>
      </c>
      <c r="B5" s="25"/>
    </row>
    <row r="6" customFormat="false" ht="15" hidden="false" customHeight="false" outlineLevel="0" collapsed="false">
      <c r="A6" s="28" t="s">
        <v>15</v>
      </c>
      <c r="B6" s="25" t="s">
        <v>1766</v>
      </c>
    </row>
    <row r="7" customFormat="false" ht="15" hidden="false" customHeight="false" outlineLevel="0" collapsed="false">
      <c r="A7" s="28" t="s">
        <v>111</v>
      </c>
      <c r="B7" s="27" t="s">
        <v>1767</v>
      </c>
    </row>
    <row r="8" customFormat="false" ht="15" hidden="false" customHeight="false" outlineLevel="0" collapsed="false">
      <c r="A8" s="28" t="s">
        <v>188</v>
      </c>
      <c r="B8" s="27" t="s">
        <v>1768</v>
      </c>
    </row>
    <row r="9" customFormat="false" ht="15" hidden="false" customHeight="false" outlineLevel="0" collapsed="false">
      <c r="A9" s="28" t="s">
        <v>303</v>
      </c>
      <c r="B9" s="27" t="s">
        <v>1769</v>
      </c>
    </row>
    <row r="10" customFormat="false" ht="15" hidden="false" customHeight="false" outlineLevel="0" collapsed="false">
      <c r="A10" s="28" t="s">
        <v>168</v>
      </c>
      <c r="B10" s="27" t="s">
        <v>1770</v>
      </c>
    </row>
    <row r="11" customFormat="false" ht="15" hidden="false" customHeight="false" outlineLevel="0" collapsed="false">
      <c r="A11" s="24"/>
      <c r="B11" s="25"/>
    </row>
    <row r="12" customFormat="false" ht="15" hidden="false" customHeight="false" outlineLevel="0" collapsed="false">
      <c r="A12" s="24" t="s">
        <v>1771</v>
      </c>
      <c r="B12" s="25"/>
    </row>
    <row r="13" customFormat="false" ht="15" hidden="false" customHeight="false" outlineLevel="0" collapsed="false">
      <c r="A13" s="26"/>
      <c r="B13" s="25" t="s">
        <v>1772</v>
      </c>
    </row>
    <row r="14" customFormat="false" ht="15" hidden="false" customHeight="false" outlineLevel="0" collapsed="false">
      <c r="A14" s="26"/>
      <c r="B14" s="27" t="s">
        <v>1773</v>
      </c>
    </row>
    <row r="15" customFormat="false" ht="15" hidden="false" customHeight="false" outlineLevel="0" collapsed="false">
      <c r="A15" s="24"/>
      <c r="B15" s="25"/>
    </row>
    <row r="16" customFormat="false" ht="15" hidden="false" customHeight="false" outlineLevel="0" collapsed="false">
      <c r="A16" s="24" t="s">
        <v>1</v>
      </c>
      <c r="B16" s="25"/>
    </row>
    <row r="17" customFormat="false" ht="15" hidden="false" customHeight="false" outlineLevel="0" collapsed="false">
      <c r="A17" s="26" t="s">
        <v>1774</v>
      </c>
      <c r="B17" s="27" t="s">
        <v>1775</v>
      </c>
    </row>
    <row r="18" customFormat="false" ht="15" hidden="false" customHeight="false" outlineLevel="0" collapsed="false">
      <c r="A18" s="26" t="s">
        <v>1776</v>
      </c>
      <c r="B18" s="27" t="s">
        <v>1777</v>
      </c>
    </row>
    <row r="19" customFormat="false" ht="15" hidden="false" customHeight="false" outlineLevel="0" collapsed="false">
      <c r="A19" s="24"/>
      <c r="B19" s="25"/>
    </row>
    <row r="20" customFormat="false" ht="15" hidden="false" customHeight="false" outlineLevel="0" collapsed="false">
      <c r="A20" s="24" t="s">
        <v>1778</v>
      </c>
      <c r="B20" s="25"/>
    </row>
    <row r="21" customFormat="false" ht="15" hidden="false" customHeight="false" outlineLevel="0" collapsed="false">
      <c r="A21" s="26"/>
      <c r="B21" s="27" t="s">
        <v>1779</v>
      </c>
    </row>
    <row r="22" customFormat="false" ht="15" hidden="false" customHeight="false" outlineLevel="0" collapsed="false">
      <c r="A22" s="26"/>
      <c r="B22" s="27" t="s">
        <v>1780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2026-09-17T12:27:43Z</dcterms:created>
  <dc:creator>openpyxl</dc:creator>
  <dc:description/>
  <dc:language>en-US</dc:language>
  <cp:lastModifiedBy/>
  <dcterms:modified xsi:type="dcterms:W3CDTF">2026-09-17T12:27:43Z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