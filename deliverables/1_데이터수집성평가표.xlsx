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집성 평가표" sheetId="1" state="visible" r:id="rId3"/>
    <sheet name="분류별 집계" sheetId="2" state="visible" r:id="rId4"/>
    <sheet name="우선순위 매트릭스" sheetId="3" state="visible" r:id="rId5"/>
    <sheet name="평가 방법" sheetId="4" state="visible" r:id="rId6"/>
  </sheets>
  <definedNames>
    <definedName function="false" hidden="true" localSheetId="0" name="_xlnm._FilterDatabase" vbProcedure="false">'수집성 평가표'!$A$1:$J$529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<sst xmlns="http://schemas.openxmlformats.org/spreadsheetml/2006/main" count="2736" uniqueCount="697">
  <si>
    <t xml:space="preserve">No</t>
  </si>
  <si>
    <t xml:space="preserve">분류</t>
  </si>
  <si>
    <t xml:space="preserve">대분류</t>
  </si>
  <si>
    <t xml:space="preserve">데이터 구분</t>
  </si>
  <si>
    <t xml:space="preserve">중분류</t>
  </si>
  <si>
    <t xml:space="preserve">인자</t>
  </si>
  <si>
    <t xml:space="preserve">수집가능성</t>
  </si>
  <si>
    <t xml:space="preserve">중요도</t>
  </si>
  <si>
    <t xml:space="preserve">총점</t>
  </si>
  <si>
    <t xml:space="preserve">우선순위 구간</t>
  </si>
  <si>
    <t xml:space="preserve">①</t>
  </si>
  <si>
    <t xml:space="preserve">영상 데이터</t>
  </si>
  <si>
    <t xml:space="preserve">내부 원천</t>
  </si>
  <si>
    <t xml:space="preserve">영상 원본</t>
  </si>
  <si>
    <r>
      <rPr>
        <b val="true"/>
        <sz val="9"/>
        <rFont val="Arial"/>
        <family val="0"/>
        <charset val="1"/>
      </rPr>
      <t xml:space="preserve">DICOM </t>
    </r>
    <r>
      <rPr>
        <b val="true"/>
        <sz val="9"/>
        <rFont val="Noto Sans CJK SC"/>
        <family val="2"/>
      </rPr>
      <t xml:space="preserve">파일</t>
    </r>
  </si>
  <si>
    <t xml:space="preserve">픽셀 해상도</t>
  </si>
  <si>
    <t xml:space="preserve">Bit Depth</t>
  </si>
  <si>
    <t xml:space="preserve">압축 방식</t>
  </si>
  <si>
    <r>
      <rPr>
        <b val="true"/>
        <sz val="9"/>
        <rFont val="Noto Sans CJK SC"/>
        <family val="2"/>
      </rPr>
      <t xml:space="preserve">시리즈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인스턴스</t>
    </r>
  </si>
  <si>
    <t xml:space="preserve">파일 용량</t>
  </si>
  <si>
    <t xml:space="preserve">촬영 조건</t>
  </si>
  <si>
    <t xml:space="preserve">촬영 부위</t>
  </si>
  <si>
    <r>
      <rPr>
        <b val="true"/>
        <sz val="9"/>
        <rFont val="Noto Sans CJK SC"/>
        <family val="2"/>
      </rPr>
      <t xml:space="preserve">자세</t>
    </r>
    <r>
      <rPr>
        <b val="true"/>
        <sz val="9"/>
        <rFont val="Arial"/>
        <family val="0"/>
        <charset val="1"/>
      </rPr>
      <t xml:space="preserve">(VD · DV · Lat)</t>
    </r>
  </si>
  <si>
    <t xml:space="preserve">kVp · mAs</t>
  </si>
  <si>
    <r>
      <rPr>
        <b val="true"/>
        <sz val="9"/>
        <rFont val="Noto Sans CJK SC"/>
        <family val="2"/>
      </rPr>
      <t xml:space="preserve">촬영 거리</t>
    </r>
    <r>
      <rPr>
        <b val="true"/>
        <sz val="9"/>
        <rFont val="Arial"/>
        <family val="0"/>
        <charset val="1"/>
      </rPr>
      <t xml:space="preserve">(SID)</t>
    </r>
  </si>
  <si>
    <t xml:space="preserve">그리드 사용</t>
  </si>
  <si>
    <t xml:space="preserve">조영제 사용</t>
  </si>
  <si>
    <r>
      <rPr>
        <sz val="9"/>
        <rFont val="Noto Sans CJK SC"/>
        <family val="2"/>
      </rPr>
      <t xml:space="preserve">장비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환경</t>
    </r>
  </si>
  <si>
    <r>
      <rPr>
        <b val="true"/>
        <sz val="9"/>
        <rFont val="Noto Sans CJK SC"/>
        <family val="2"/>
      </rPr>
      <t xml:space="preserve">제조사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모델</t>
    </r>
  </si>
  <si>
    <r>
      <rPr>
        <b val="true"/>
        <sz val="9"/>
        <rFont val="Arial"/>
        <family val="0"/>
        <charset val="1"/>
      </rPr>
      <t xml:space="preserve">DR · CR </t>
    </r>
    <r>
      <rPr>
        <b val="true"/>
        <sz val="9"/>
        <rFont val="Noto Sans CJK SC"/>
        <family val="2"/>
      </rPr>
      <t xml:space="preserve">구분</t>
    </r>
  </si>
  <si>
    <t xml:space="preserve">검출기 종류</t>
  </si>
  <si>
    <t xml:space="preserve">캘리브레이션일</t>
  </si>
  <si>
    <t xml:space="preserve">병원 코드</t>
  </si>
  <si>
    <r>
      <rPr>
        <b val="true"/>
        <sz val="9"/>
        <rFont val="Noto Sans CJK SC"/>
        <family val="2"/>
      </rPr>
      <t xml:space="preserve">촬영자 </t>
    </r>
    <r>
      <rPr>
        <b val="true"/>
        <sz val="9"/>
        <rFont val="Arial"/>
        <family val="0"/>
        <charset val="1"/>
      </rPr>
      <t xml:space="preserve">ID</t>
    </r>
  </si>
  <si>
    <t xml:space="preserve">영상 품질</t>
  </si>
  <si>
    <r>
      <rPr>
        <b val="true"/>
        <sz val="9"/>
        <rFont val="Noto Sans CJK SC"/>
        <family val="2"/>
      </rPr>
      <t xml:space="preserve">노출 지수</t>
    </r>
    <r>
      <rPr>
        <b val="true"/>
        <sz val="9"/>
        <rFont val="Arial"/>
        <family val="0"/>
        <charset val="1"/>
      </rPr>
      <t xml:space="preserve">(EI)</t>
    </r>
  </si>
  <si>
    <t xml:space="preserve">체위 오류</t>
  </si>
  <si>
    <t xml:space="preserve">움직임 아티팩트</t>
  </si>
  <si>
    <r>
      <rPr>
        <b val="true"/>
        <sz val="9"/>
        <rFont val="Noto Sans CJK SC"/>
        <family val="2"/>
      </rPr>
      <t xml:space="preserve">절단</t>
    </r>
    <r>
      <rPr>
        <b val="true"/>
        <sz val="9"/>
        <rFont val="Arial"/>
        <family val="0"/>
        <charset val="1"/>
      </rPr>
      <t xml:space="preserve">(cut-off)</t>
    </r>
  </si>
  <si>
    <r>
      <rPr>
        <b val="true"/>
        <sz val="9"/>
        <rFont val="Noto Sans CJK SC"/>
        <family val="2"/>
      </rPr>
      <t xml:space="preserve">흡기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호기 시점</t>
    </r>
  </si>
  <si>
    <t xml:space="preserve">재촬영 여부</t>
  </si>
  <si>
    <r>
      <rPr>
        <sz val="9"/>
        <rFont val="Noto Sans CJK SC"/>
        <family val="2"/>
      </rPr>
      <t xml:space="preserve">판독 소견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정답</t>
    </r>
    <r>
      <rPr>
        <sz val="9"/>
        <rFont val="Arial"/>
        <family val="0"/>
        <charset val="1"/>
      </rPr>
      <t xml:space="preserve">)</t>
    </r>
  </si>
  <si>
    <t xml:space="preserve">기존 판독문 원문</t>
  </si>
  <si>
    <t xml:space="preserve">소견 구조화 항목</t>
  </si>
  <si>
    <t xml:space="preserve">병변 부위 좌표</t>
  </si>
  <si>
    <t xml:space="preserve">최종 진단명</t>
  </si>
  <si>
    <r>
      <rPr>
        <b val="true"/>
        <sz val="9"/>
        <rFont val="Noto Sans CJK SC"/>
        <family val="2"/>
      </rPr>
      <t xml:space="preserve">판독 수의사 </t>
    </r>
    <r>
      <rPr>
        <b val="true"/>
        <sz val="9"/>
        <rFont val="Arial"/>
        <family val="0"/>
        <charset val="1"/>
      </rPr>
      <t xml:space="preserve">ID</t>
    </r>
  </si>
  <si>
    <t xml:space="preserve">판독 일시</t>
  </si>
  <si>
    <t xml:space="preserve">영상 계열 확장</t>
  </si>
  <si>
    <r>
      <rPr>
        <b val="true"/>
        <sz val="9"/>
        <rFont val="Noto Sans CJK SC"/>
        <family val="2"/>
      </rPr>
      <t xml:space="preserve">초음파 정지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동영상</t>
    </r>
  </si>
  <si>
    <r>
      <rPr>
        <b val="true"/>
        <sz val="9"/>
        <rFont val="Arial"/>
        <family val="0"/>
        <charset val="1"/>
      </rPr>
      <t xml:space="preserve">CT · MRI </t>
    </r>
    <r>
      <rPr>
        <b val="true"/>
        <sz val="9"/>
        <rFont val="Noto Sans CJK SC"/>
        <family val="2"/>
      </rPr>
      <t xml:space="preserve">시리즈</t>
    </r>
  </si>
  <si>
    <t xml:space="preserve">내시경 영상</t>
  </si>
  <si>
    <r>
      <rPr>
        <b val="true"/>
        <sz val="9"/>
        <rFont val="Noto Sans CJK SC"/>
        <family val="2"/>
      </rPr>
      <t xml:space="preserve">피부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안구 사진</t>
    </r>
  </si>
  <si>
    <t xml:space="preserve">심초음파 계측값</t>
  </si>
  <si>
    <t xml:space="preserve">모달리티 코드</t>
  </si>
  <si>
    <r>
      <rPr>
        <sz val="9"/>
        <rFont val="Noto Sans CJK SC"/>
        <family val="2"/>
      </rPr>
      <t xml:space="preserve">시계열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비교</t>
    </r>
  </si>
  <si>
    <t xml:space="preserve">이전 촬영 일자</t>
  </si>
  <si>
    <t xml:space="preserve">동일 부위 반복</t>
  </si>
  <si>
    <t xml:space="preserve">치료 전후 쌍</t>
  </si>
  <si>
    <t xml:space="preserve">경과 관찰 간격</t>
  </si>
  <si>
    <t xml:space="preserve">누적 촬영 횟수</t>
  </si>
  <si>
    <t xml:space="preserve">변화량 주석</t>
  </si>
  <si>
    <r>
      <rPr>
        <sz val="9"/>
        <rFont val="Noto Sans CJK SC"/>
        <family val="2"/>
      </rPr>
      <t xml:space="preserve">연동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수집</t>
    </r>
  </si>
  <si>
    <r>
      <rPr>
        <b val="true"/>
        <sz val="9"/>
        <rFont val="Arial"/>
        <family val="0"/>
        <charset val="1"/>
      </rPr>
      <t xml:space="preserve">PACS </t>
    </r>
    <r>
      <rPr>
        <b val="true"/>
        <sz val="9"/>
        <rFont val="Noto Sans CJK SC"/>
        <family val="2"/>
      </rPr>
      <t xml:space="preserve">연동 방식</t>
    </r>
  </si>
  <si>
    <r>
      <rPr>
        <b val="true"/>
        <sz val="9"/>
        <rFont val="Arial"/>
        <family val="0"/>
        <charset val="1"/>
      </rPr>
      <t xml:space="preserve">DICOM </t>
    </r>
    <r>
      <rPr>
        <b val="true"/>
        <sz val="9"/>
        <rFont val="Noto Sans CJK SC"/>
        <family val="2"/>
      </rPr>
      <t xml:space="preserve">태그 매핑</t>
    </r>
  </si>
  <si>
    <t xml:space="preserve">DIMSE · DICOMweb</t>
  </si>
  <si>
    <t xml:space="preserve">익명화 처리</t>
  </si>
  <si>
    <t xml:space="preserve">보존 기간</t>
  </si>
  <si>
    <t xml:space="preserve">반출 동의 여부</t>
  </si>
  <si>
    <t xml:space="preserve">②</t>
  </si>
  <si>
    <r>
      <rPr>
        <sz val="9"/>
        <rFont val="Noto Sans CJK SC"/>
        <family val="2"/>
      </rPr>
      <t xml:space="preserve">혈액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진단검사</t>
    </r>
  </si>
  <si>
    <r>
      <rPr>
        <sz val="9"/>
        <rFont val="Noto Sans CJK SC"/>
        <family val="2"/>
      </rPr>
      <t xml:space="preserve">혈구검사</t>
    </r>
    <r>
      <rPr>
        <sz val="9"/>
        <rFont val="Arial"/>
        <family val="0"/>
        <charset val="1"/>
      </rPr>
      <t xml:space="preserve">(CBC)</t>
    </r>
  </si>
  <si>
    <t xml:space="preserve">WBC · RBC</t>
  </si>
  <si>
    <t xml:space="preserve">HCT · HGB</t>
  </si>
  <si>
    <r>
      <rPr>
        <b val="true"/>
        <sz val="9"/>
        <rFont val="Arial"/>
        <family val="0"/>
        <charset val="1"/>
      </rPr>
      <t xml:space="preserve">PLT </t>
    </r>
    <r>
      <rPr>
        <b val="true"/>
        <sz val="9"/>
        <rFont val="Noto Sans CJK SC"/>
        <family val="2"/>
      </rPr>
      <t xml:space="preserve">수치</t>
    </r>
  </si>
  <si>
    <t xml:space="preserve">혈구 분율</t>
  </si>
  <si>
    <t xml:space="preserve">망상적혈구</t>
  </si>
  <si>
    <t xml:space="preserve">혈액도말 소견</t>
  </si>
  <si>
    <t xml:space="preserve">혈청화학</t>
  </si>
  <si>
    <t xml:space="preserve">ALT · ALP</t>
  </si>
  <si>
    <t xml:space="preserve">BUN · CREA</t>
  </si>
  <si>
    <r>
      <rPr>
        <b val="true"/>
        <sz val="9"/>
        <rFont val="Noto Sans CJK SC"/>
        <family val="2"/>
      </rPr>
      <t xml:space="preserve">총단백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알부민</t>
    </r>
  </si>
  <si>
    <r>
      <rPr>
        <b val="true"/>
        <sz val="9"/>
        <rFont val="Noto Sans CJK SC"/>
        <family val="2"/>
      </rPr>
      <t xml:space="preserve">혈당</t>
    </r>
    <r>
      <rPr>
        <b val="true"/>
        <sz val="9"/>
        <rFont val="Arial"/>
        <family val="0"/>
        <charset val="1"/>
      </rPr>
      <t xml:space="preserve">(GLU)</t>
    </r>
  </si>
  <si>
    <t xml:space="preserve">총빌리루빈</t>
  </si>
  <si>
    <t xml:space="preserve">콜레스테롤</t>
  </si>
  <si>
    <r>
      <rPr>
        <sz val="9"/>
        <rFont val="Noto Sans CJK SC"/>
        <family val="2"/>
      </rPr>
      <t xml:space="preserve">특수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바이오마커</t>
    </r>
  </si>
  <si>
    <t xml:space="preserve">SDMA</t>
  </si>
  <si>
    <r>
      <rPr>
        <b val="true"/>
        <sz val="9"/>
        <rFont val="Arial"/>
        <family val="0"/>
        <charset val="1"/>
      </rPr>
      <t xml:space="preserve">cTnI(</t>
    </r>
    <r>
      <rPr>
        <b val="true"/>
        <sz val="9"/>
        <rFont val="Noto Sans CJK SC"/>
        <family val="2"/>
      </rPr>
      <t xml:space="preserve">심장</t>
    </r>
    <r>
      <rPr>
        <b val="true"/>
        <sz val="9"/>
        <rFont val="Arial"/>
        <family val="0"/>
        <charset val="1"/>
      </rPr>
      <t xml:space="preserve">)</t>
    </r>
  </si>
  <si>
    <t xml:space="preserve">NT-proBNP</t>
  </si>
  <si>
    <t xml:space="preserve">CRP · SAA</t>
  </si>
  <si>
    <t xml:space="preserve">T4 · cortisol</t>
  </si>
  <si>
    <r>
      <rPr>
        <b val="true"/>
        <sz val="9"/>
        <rFont val="Arial"/>
        <family val="0"/>
        <charset val="1"/>
      </rPr>
      <t xml:space="preserve">cPL(</t>
    </r>
    <r>
      <rPr>
        <b val="true"/>
        <sz val="9"/>
        <rFont val="Noto Sans CJK SC"/>
        <family val="2"/>
      </rPr>
      <t xml:space="preserve">췌장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</si>
  <si>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전해질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혈액가스</t>
    </r>
  </si>
  <si>
    <t xml:space="preserve">Na · K · Cl</t>
  </si>
  <si>
    <t xml:space="preserve">이온화 칼슘</t>
  </si>
  <si>
    <t xml:space="preserve">pH · pCO2</t>
  </si>
  <si>
    <t xml:space="preserve">HCO3 · BE</t>
  </si>
  <si>
    <r>
      <rPr>
        <b val="true"/>
        <sz val="9"/>
        <rFont val="Noto Sans CJK SC"/>
        <family val="2"/>
      </rPr>
      <t xml:space="preserve">젖산</t>
    </r>
    <r>
      <rPr>
        <b val="true"/>
        <sz val="9"/>
        <rFont val="Arial"/>
        <family val="0"/>
        <charset val="1"/>
      </rPr>
      <t xml:space="preserve">(Lactate)</t>
    </r>
  </si>
  <si>
    <t xml:space="preserve">음이온차</t>
  </si>
  <si>
    <t xml:space="preserve">기타 체액검사</t>
  </si>
  <si>
    <r>
      <rPr>
        <b val="true"/>
        <sz val="9"/>
        <rFont val="Noto Sans CJK SC"/>
        <family val="2"/>
      </rPr>
      <t xml:space="preserve">요검사</t>
    </r>
    <r>
      <rPr>
        <b val="true"/>
        <sz val="9"/>
        <rFont val="Arial"/>
        <family val="0"/>
        <charset val="1"/>
      </rPr>
      <t xml:space="preserve">(SG · </t>
    </r>
    <r>
      <rPr>
        <b val="true"/>
        <sz val="9"/>
        <rFont val="Noto Sans CJK SC"/>
        <family val="2"/>
      </rPr>
      <t xml:space="preserve">단백</t>
    </r>
    <r>
      <rPr>
        <b val="true"/>
        <sz val="9"/>
        <rFont val="Arial"/>
        <family val="0"/>
        <charset val="1"/>
      </rPr>
      <t xml:space="preserve">)</t>
    </r>
  </si>
  <si>
    <t xml:space="preserve">요침사 소견</t>
  </si>
  <si>
    <t xml:space="preserve">분변 기생충</t>
  </si>
  <si>
    <r>
      <rPr>
        <b val="true"/>
        <sz val="9"/>
        <rFont val="Noto Sans CJK SC"/>
        <family val="2"/>
      </rPr>
      <t xml:space="preserve">세포검사</t>
    </r>
    <r>
      <rPr>
        <b val="true"/>
        <sz val="9"/>
        <rFont val="Arial"/>
        <family val="0"/>
        <charset val="1"/>
      </rPr>
      <t xml:space="preserve">(FNA)</t>
    </r>
  </si>
  <si>
    <r>
      <rPr>
        <b val="true"/>
        <sz val="9"/>
        <rFont val="Noto Sans CJK SC"/>
        <family val="2"/>
      </rPr>
      <t xml:space="preserve">배양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감수성</t>
    </r>
  </si>
  <si>
    <r>
      <rPr>
        <b val="true"/>
        <sz val="9"/>
        <rFont val="Arial"/>
        <family val="0"/>
        <charset val="1"/>
      </rPr>
      <t xml:space="preserve">PCR </t>
    </r>
    <r>
      <rPr>
        <b val="true"/>
        <sz val="9"/>
        <rFont val="Noto Sans CJK SC"/>
        <family val="2"/>
      </rPr>
      <t xml:space="preserve">검사</t>
    </r>
  </si>
  <si>
    <t xml:space="preserve">검사 메타</t>
  </si>
  <si>
    <t xml:space="preserve">검사 일시</t>
  </si>
  <si>
    <t xml:space="preserve">검체 종류</t>
  </si>
  <si>
    <r>
      <rPr>
        <b val="true"/>
        <sz val="9"/>
        <rFont val="Noto Sans CJK SC"/>
        <family val="2"/>
      </rPr>
      <t xml:space="preserve">채혈 조건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공복</t>
    </r>
    <r>
      <rPr>
        <b val="true"/>
        <sz val="9"/>
        <rFont val="Arial"/>
        <family val="0"/>
        <charset val="1"/>
      </rPr>
      <t xml:space="preserve">)</t>
    </r>
  </si>
  <si>
    <t xml:space="preserve">검사 장비 모델</t>
  </si>
  <si>
    <t xml:space="preserve">외부 의뢰 여부</t>
  </si>
  <si>
    <t xml:space="preserve">검사 소요 시간</t>
  </si>
  <si>
    <t xml:space="preserve">판정 기준</t>
  </si>
  <si>
    <t xml:space="preserve">축종별 참조범위</t>
  </si>
  <si>
    <t xml:space="preserve">품종 보정</t>
  </si>
  <si>
    <t xml:space="preserve">연령대 보정</t>
  </si>
  <si>
    <r>
      <rPr>
        <b val="true"/>
        <sz val="9"/>
        <rFont val="Noto Sans CJK SC"/>
        <family val="2"/>
      </rPr>
      <t xml:space="preserve">정상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이상 플래그</t>
    </r>
  </si>
  <si>
    <t xml:space="preserve">위험 임계값</t>
  </si>
  <si>
    <t xml:space="preserve">단위 표기 체계</t>
  </si>
  <si>
    <r>
      <rPr>
        <sz val="9"/>
        <rFont val="Noto Sans CJK SC"/>
        <family val="2"/>
      </rPr>
      <t xml:space="preserve">품질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연동</t>
    </r>
  </si>
  <si>
    <r>
      <rPr>
        <b val="true"/>
        <sz val="9"/>
        <rFont val="Noto Sans CJK SC"/>
        <family val="2"/>
      </rPr>
      <t xml:space="preserve">용혈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지질혈</t>
    </r>
  </si>
  <si>
    <t xml:space="preserve">재검 여부</t>
  </si>
  <si>
    <t xml:space="preserve">결측 항목 비율</t>
  </si>
  <si>
    <r>
      <rPr>
        <b val="true"/>
        <sz val="9"/>
        <rFont val="Arial"/>
        <family val="0"/>
        <charset val="1"/>
      </rPr>
      <t xml:space="preserve">LIS </t>
    </r>
    <r>
      <rPr>
        <b val="true"/>
        <sz val="9"/>
        <rFont val="Noto Sans CJK SC"/>
        <family val="2"/>
      </rPr>
      <t xml:space="preserve">연동 방식</t>
    </r>
  </si>
  <si>
    <t xml:space="preserve">항목 코드 표준화</t>
  </si>
  <si>
    <t xml:space="preserve">이상치 검출 규칙</t>
  </si>
  <si>
    <t xml:space="preserve">③</t>
  </si>
  <si>
    <r>
      <rPr>
        <sz val="9"/>
        <rFont val="Noto Sans CJK SC"/>
        <family val="2"/>
      </rPr>
      <t xml:space="preserve">처방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투약</t>
    </r>
  </si>
  <si>
    <t xml:space="preserve">처방 기본</t>
  </si>
  <si>
    <r>
      <rPr>
        <b val="true"/>
        <sz val="9"/>
        <rFont val="Noto Sans CJK SC"/>
        <family val="2"/>
      </rPr>
      <t xml:space="preserve">처방 </t>
    </r>
    <r>
      <rPr>
        <b val="true"/>
        <sz val="9"/>
        <rFont val="Arial"/>
        <family val="0"/>
        <charset val="1"/>
      </rPr>
      <t xml:space="preserve">ID</t>
    </r>
  </si>
  <si>
    <t xml:space="preserve">처방 일시</t>
  </si>
  <si>
    <t xml:space="preserve">처방 수의사</t>
  </si>
  <si>
    <t xml:space="preserve">진단명 연계</t>
  </si>
  <si>
    <r>
      <rPr>
        <b val="true"/>
        <sz val="9"/>
        <rFont val="Noto Sans CJK SC"/>
        <family val="2"/>
      </rPr>
      <t xml:space="preserve">원내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원외 구분</t>
    </r>
  </si>
  <si>
    <t xml:space="preserve">처방 상태</t>
  </si>
  <si>
    <t xml:space="preserve">약물 정보</t>
  </si>
  <si>
    <t xml:space="preserve">성분명</t>
  </si>
  <si>
    <r>
      <rPr>
        <b val="true"/>
        <sz val="9"/>
        <rFont val="Noto Sans CJK SC"/>
        <family val="2"/>
      </rPr>
      <t xml:space="preserve">제품명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제조사</t>
    </r>
  </si>
  <si>
    <r>
      <rPr>
        <b val="true"/>
        <sz val="9"/>
        <rFont val="Noto Sans CJK SC"/>
        <family val="2"/>
      </rPr>
      <t xml:space="preserve">약효 분류</t>
    </r>
    <r>
      <rPr>
        <b val="true"/>
        <sz val="9"/>
        <rFont val="Arial"/>
        <family val="0"/>
        <charset val="1"/>
      </rPr>
      <t xml:space="preserve">(ATCvet)</t>
    </r>
  </si>
  <si>
    <t xml:space="preserve">제형</t>
  </si>
  <si>
    <r>
      <rPr>
        <b val="true"/>
        <sz val="9"/>
        <rFont val="Noto Sans CJK SC"/>
        <family val="2"/>
      </rPr>
      <t xml:space="preserve">규격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함량</t>
    </r>
  </si>
  <si>
    <r>
      <rPr>
        <b val="true"/>
        <sz val="9"/>
        <rFont val="Noto Sans CJK SC"/>
        <family val="2"/>
      </rPr>
      <t xml:space="preserve">동물용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인체용</t>
    </r>
  </si>
  <si>
    <r>
      <rPr>
        <sz val="9"/>
        <rFont val="Noto Sans CJK SC"/>
        <family val="2"/>
      </rPr>
      <t xml:space="preserve">용법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용량</t>
    </r>
  </si>
  <si>
    <r>
      <rPr>
        <b val="true"/>
        <sz val="9"/>
        <rFont val="Arial"/>
        <family val="0"/>
        <charset val="1"/>
      </rPr>
      <t xml:space="preserve">1</t>
    </r>
    <r>
      <rPr>
        <b val="true"/>
        <sz val="9"/>
        <rFont val="Noto Sans CJK SC"/>
        <family val="2"/>
      </rPr>
      <t xml:space="preserve">회 용량</t>
    </r>
    <r>
      <rPr>
        <b val="true"/>
        <sz val="9"/>
        <rFont val="Arial"/>
        <family val="0"/>
        <charset val="1"/>
      </rPr>
      <t xml:space="preserve">(mg/kg)</t>
    </r>
  </si>
  <si>
    <t xml:space="preserve">투여 경로</t>
  </si>
  <si>
    <t xml:space="preserve">투여 횟수</t>
  </si>
  <si>
    <t xml:space="preserve">투여 기간</t>
  </si>
  <si>
    <t xml:space="preserve">체중 기준 환산</t>
  </si>
  <si>
    <t xml:space="preserve">용량 조정 이력</t>
  </si>
  <si>
    <t xml:space="preserve">투약 안전성</t>
  </si>
  <si>
    <t xml:space="preserve">병용 금기</t>
  </si>
  <si>
    <t xml:space="preserve">축종 금기</t>
  </si>
  <si>
    <t xml:space="preserve">알레르기 이력</t>
  </si>
  <si>
    <t xml:space="preserve">부작용 보고</t>
  </si>
  <si>
    <r>
      <rPr>
        <b val="true"/>
        <sz val="9"/>
        <rFont val="Noto Sans CJK SC"/>
        <family val="2"/>
      </rPr>
      <t xml:space="preserve">신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간기능 보정</t>
    </r>
  </si>
  <si>
    <r>
      <rPr>
        <b val="true"/>
        <sz val="9"/>
        <rFont val="Noto Sans CJK SC"/>
        <family val="2"/>
      </rPr>
      <t xml:space="preserve">임신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수유 여부</t>
    </r>
  </si>
  <si>
    <t xml:space="preserve">투약 실행</t>
  </si>
  <si>
    <t xml:space="preserve">실제 투약 일시</t>
  </si>
  <si>
    <r>
      <rPr>
        <b val="true"/>
        <sz val="9"/>
        <rFont val="Noto Sans CJK SC"/>
        <family val="2"/>
      </rPr>
      <t xml:space="preserve">투약자 </t>
    </r>
    <r>
      <rPr>
        <b val="true"/>
        <sz val="9"/>
        <rFont val="Arial"/>
        <family val="0"/>
        <charset val="1"/>
      </rPr>
      <t xml:space="preserve">ID</t>
    </r>
  </si>
  <si>
    <t xml:space="preserve">잔여 처방일수</t>
  </si>
  <si>
    <t xml:space="preserve">리필 여부</t>
  </si>
  <si>
    <t xml:space="preserve">복약 순응도</t>
  </si>
  <si>
    <t xml:space="preserve">중단 사유</t>
  </si>
  <si>
    <r>
      <rPr>
        <sz val="9"/>
        <rFont val="Noto Sans CJK SC"/>
        <family val="2"/>
      </rPr>
      <t xml:space="preserve">처치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시술</t>
    </r>
  </si>
  <si>
    <t xml:space="preserve">처치 코드</t>
  </si>
  <si>
    <t xml:space="preserve">수술 이력</t>
  </si>
  <si>
    <t xml:space="preserve">마취 기록</t>
  </si>
  <si>
    <t xml:space="preserve">수액 요법</t>
  </si>
  <si>
    <t xml:space="preserve">주사 처치</t>
  </si>
  <si>
    <t xml:space="preserve">처치 소요 시간</t>
  </si>
  <si>
    <r>
      <rPr>
        <sz val="9"/>
        <rFont val="Noto Sans CJK SC"/>
        <family val="2"/>
      </rPr>
      <t xml:space="preserve">수납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비용</t>
    </r>
  </si>
  <si>
    <t xml:space="preserve">항목별 수가</t>
  </si>
  <si>
    <t xml:space="preserve">총 진료비</t>
  </si>
  <si>
    <t xml:space="preserve">결제 수단</t>
  </si>
  <si>
    <r>
      <rPr>
        <b val="true"/>
        <sz val="9"/>
        <rFont val="Noto Sans CJK SC"/>
        <family val="2"/>
      </rPr>
      <t xml:space="preserve">할인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패키지</t>
    </r>
  </si>
  <si>
    <t xml:space="preserve">펫보험 청구</t>
  </si>
  <si>
    <t xml:space="preserve">미수금 여부</t>
  </si>
  <si>
    <r>
      <rPr>
        <sz val="9"/>
        <rFont val="Noto Sans CJK SC"/>
        <family val="2"/>
      </rPr>
      <t xml:space="preserve">연동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품질</t>
    </r>
  </si>
  <si>
    <r>
      <rPr>
        <b val="true"/>
        <sz val="9"/>
        <rFont val="Arial"/>
        <family val="0"/>
        <charset val="1"/>
      </rPr>
      <t xml:space="preserve">EMR </t>
    </r>
    <r>
      <rPr>
        <b val="true"/>
        <sz val="9"/>
        <rFont val="Noto Sans CJK SC"/>
        <family val="2"/>
      </rPr>
      <t xml:space="preserve">연동 방식</t>
    </r>
  </si>
  <si>
    <t xml:space="preserve">약물 마스터 표준</t>
  </si>
  <si>
    <t xml:space="preserve">자유입력 비율</t>
  </si>
  <si>
    <r>
      <rPr>
        <b val="true"/>
        <sz val="9"/>
        <rFont val="Noto Sans CJK SC"/>
        <family val="2"/>
      </rPr>
      <t xml:space="preserve">오탈자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약어</t>
    </r>
  </si>
  <si>
    <t xml:space="preserve">단위 불일치</t>
  </si>
  <si>
    <t xml:space="preserve">중복 처방 검출</t>
  </si>
  <si>
    <t xml:space="preserve">④</t>
  </si>
  <si>
    <r>
      <rPr>
        <sz val="9"/>
        <rFont val="Noto Sans CJK SC"/>
        <family val="2"/>
      </rPr>
      <t xml:space="preserve">응급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입원</t>
    </r>
  </si>
  <si>
    <r>
      <rPr>
        <sz val="9"/>
        <rFont val="Noto Sans CJK SC"/>
        <family val="2"/>
      </rPr>
      <t xml:space="preserve">내원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접수</t>
    </r>
  </si>
  <si>
    <t xml:space="preserve">내원 일시</t>
  </si>
  <si>
    <t xml:space="preserve">내원 경위</t>
  </si>
  <si>
    <r>
      <rPr>
        <b val="true"/>
        <sz val="9"/>
        <rFont val="Noto Sans CJK SC"/>
        <family val="2"/>
      </rPr>
      <t xml:space="preserve">주호소</t>
    </r>
    <r>
      <rPr>
        <b val="true"/>
        <sz val="9"/>
        <rFont val="Arial"/>
        <family val="0"/>
        <charset val="1"/>
      </rPr>
      <t xml:space="preserve">(CC)</t>
    </r>
  </si>
  <si>
    <t xml:space="preserve">증상 발현 시점</t>
  </si>
  <si>
    <t xml:space="preserve">타 병원 경유</t>
  </si>
  <si>
    <t xml:space="preserve">이송 방법</t>
  </si>
  <si>
    <t xml:space="preserve">트리아지</t>
  </si>
  <si>
    <t xml:space="preserve">중증도 등급</t>
  </si>
  <si>
    <t xml:space="preserve">의식 수준</t>
  </si>
  <si>
    <t xml:space="preserve">통증 점수</t>
  </si>
  <si>
    <t xml:space="preserve">탈수 정도</t>
  </si>
  <si>
    <t xml:space="preserve">초기 평가 시각</t>
  </si>
  <si>
    <t xml:space="preserve">우선순위 배정</t>
  </si>
  <si>
    <t xml:space="preserve">활력징후 시계열</t>
  </si>
  <si>
    <t xml:space="preserve">체온</t>
  </si>
  <si>
    <t xml:space="preserve">심박수</t>
  </si>
  <si>
    <t xml:space="preserve">호흡수</t>
  </si>
  <si>
    <r>
      <rPr>
        <b val="true"/>
        <sz val="9"/>
        <rFont val="Noto Sans CJK SC"/>
        <family val="2"/>
      </rPr>
      <t xml:space="preserve">혈압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수축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이완</t>
    </r>
    <r>
      <rPr>
        <b val="true"/>
        <sz val="9"/>
        <rFont val="Arial"/>
        <family val="0"/>
        <charset val="1"/>
      </rPr>
      <t xml:space="preserve">)</t>
    </r>
  </si>
  <si>
    <t xml:space="preserve">SpO2</t>
  </si>
  <si>
    <t xml:space="preserve">측정 간격</t>
  </si>
  <si>
    <t xml:space="preserve">응급 처치</t>
  </si>
  <si>
    <t xml:space="preserve">산소 공급</t>
  </si>
  <si>
    <t xml:space="preserve">수액 처치</t>
  </si>
  <si>
    <t xml:space="preserve">응급 약물 투여</t>
  </si>
  <si>
    <r>
      <rPr>
        <b val="true"/>
        <sz val="9"/>
        <rFont val="Arial"/>
        <family val="0"/>
        <charset val="1"/>
      </rPr>
      <t xml:space="preserve">CPR </t>
    </r>
    <r>
      <rPr>
        <b val="true"/>
        <sz val="9"/>
        <rFont val="Noto Sans CJK SC"/>
        <family val="2"/>
      </rPr>
      <t xml:space="preserve">시행 여부</t>
    </r>
  </si>
  <si>
    <t xml:space="preserve">기도 확보</t>
  </si>
  <si>
    <t xml:space="preserve">처치 시각 로그</t>
  </si>
  <si>
    <r>
      <rPr>
        <sz val="9"/>
        <rFont val="Noto Sans CJK SC"/>
        <family val="2"/>
      </rPr>
      <t xml:space="preserve">입원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경과</t>
    </r>
  </si>
  <si>
    <t xml:space="preserve">입원 일시</t>
  </si>
  <si>
    <t xml:space="preserve">재원 기간</t>
  </si>
  <si>
    <t xml:space="preserve">케이지 번호</t>
  </si>
  <si>
    <t xml:space="preserve">교대 인계 기록</t>
  </si>
  <si>
    <r>
      <rPr>
        <b val="true"/>
        <sz val="9"/>
        <rFont val="Noto Sans CJK SC"/>
        <family val="2"/>
      </rPr>
      <t xml:space="preserve">식이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배변 기록</t>
    </r>
  </si>
  <si>
    <t xml:space="preserve">경과 노트</t>
  </si>
  <si>
    <t xml:space="preserve">모니터링 장비</t>
  </si>
  <si>
    <t xml:space="preserve">환자 모니터 로그</t>
  </si>
  <si>
    <t xml:space="preserve">수액 펌프 기록</t>
  </si>
  <si>
    <t xml:space="preserve">산소 농도</t>
  </si>
  <si>
    <r>
      <rPr>
        <b val="true"/>
        <sz val="9"/>
        <rFont val="Arial"/>
        <family val="0"/>
        <charset val="1"/>
      </rPr>
      <t xml:space="preserve">ECG </t>
    </r>
    <r>
      <rPr>
        <b val="true"/>
        <sz val="9"/>
        <rFont val="Noto Sans CJK SC"/>
        <family val="2"/>
      </rPr>
      <t xml:space="preserve">파형</t>
    </r>
  </si>
  <si>
    <t xml:space="preserve">알람 이벤트</t>
  </si>
  <si>
    <r>
      <rPr>
        <b val="true"/>
        <sz val="9"/>
        <rFont val="Noto Sans CJK SC"/>
        <family val="2"/>
      </rPr>
      <t xml:space="preserve">장비 </t>
    </r>
    <r>
      <rPr>
        <b val="true"/>
        <sz val="9"/>
        <rFont val="Arial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</si>
  <si>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결과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예후</t>
    </r>
  </si>
  <si>
    <r>
      <rPr>
        <b val="true"/>
        <sz val="9"/>
        <rFont val="Noto Sans CJK SC"/>
        <family val="2"/>
      </rPr>
      <t xml:space="preserve">퇴원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전원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사망</t>
    </r>
  </si>
  <si>
    <t xml:space="preserve">재원 일수</t>
  </si>
  <si>
    <t xml:space="preserve">재입원 여부</t>
  </si>
  <si>
    <t xml:space="preserve">합병증 발생</t>
  </si>
  <si>
    <t xml:space="preserve">예후 등급</t>
  </si>
  <si>
    <t xml:space="preserve">수집 제약</t>
  </si>
  <si>
    <t xml:space="preserve">응급 시 기록 누락</t>
  </si>
  <si>
    <t xml:space="preserve">사후 입력 지연</t>
  </si>
  <si>
    <t xml:space="preserve">자유서술 비중</t>
  </si>
  <si>
    <t xml:space="preserve">수기 기록 혼재</t>
  </si>
  <si>
    <t xml:space="preserve">시각 동기화</t>
  </si>
  <si>
    <t xml:space="preserve">동의 취득 시점</t>
  </si>
  <si>
    <t xml:space="preserve">⑤</t>
  </si>
  <si>
    <r>
      <rPr>
        <sz val="9"/>
        <rFont val="Noto Sans CJK SC"/>
        <family val="2"/>
      </rPr>
      <t xml:space="preserve">개체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보호자 마스터</t>
    </r>
  </si>
  <si>
    <t xml:space="preserve">개체 식별</t>
  </si>
  <si>
    <r>
      <rPr>
        <b val="true"/>
        <sz val="9"/>
        <rFont val="Noto Sans CJK SC"/>
        <family val="2"/>
      </rPr>
      <t xml:space="preserve">개체 </t>
    </r>
    <r>
      <rPr>
        <b val="true"/>
        <sz val="9"/>
        <rFont val="Arial"/>
        <family val="0"/>
        <charset val="1"/>
      </rPr>
      <t xml:space="preserve">ID(</t>
    </r>
    <r>
      <rPr>
        <b val="true"/>
        <sz val="9"/>
        <rFont val="Noto Sans CJK SC"/>
        <family val="2"/>
      </rPr>
      <t xml:space="preserve">내부</t>
    </r>
    <r>
      <rPr>
        <b val="true"/>
        <sz val="9"/>
        <rFont val="Arial"/>
        <family val="0"/>
        <charset val="1"/>
      </rPr>
      <t xml:space="preserve">)</t>
    </r>
  </si>
  <si>
    <t xml:space="preserve">동물등록번호</t>
  </si>
  <si>
    <t xml:space="preserve">마이크로칩 번호</t>
  </si>
  <si>
    <t xml:space="preserve">병원별 차트번호</t>
  </si>
  <si>
    <t xml:space="preserve">개체명</t>
  </si>
  <si>
    <t xml:space="preserve">중복 개체 판별</t>
  </si>
  <si>
    <t xml:space="preserve">개체 속성</t>
  </si>
  <si>
    <t xml:space="preserve">축종</t>
  </si>
  <si>
    <t xml:space="preserve">품종</t>
  </si>
  <si>
    <r>
      <rPr>
        <b val="true"/>
        <sz val="9"/>
        <rFont val="Noto Sans CJK SC"/>
        <family val="2"/>
      </rPr>
      <t xml:space="preserve">성별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중성화</t>
    </r>
  </si>
  <si>
    <t xml:space="preserve">생년월일</t>
  </si>
  <si>
    <t xml:space="preserve">체중 이력</t>
  </si>
  <si>
    <r>
      <rPr>
        <b val="true"/>
        <sz val="9"/>
        <rFont val="Arial"/>
        <family val="0"/>
        <charset val="1"/>
      </rPr>
      <t xml:space="preserve">BCS · </t>
    </r>
    <r>
      <rPr>
        <b val="true"/>
        <sz val="9"/>
        <rFont val="Noto Sans CJK SC"/>
        <family val="2"/>
      </rPr>
      <t xml:space="preserve">근육량</t>
    </r>
  </si>
  <si>
    <t xml:space="preserve">병력 배경</t>
  </si>
  <si>
    <t xml:space="preserve">기저질환 목록</t>
  </si>
  <si>
    <t xml:space="preserve">만성질환 여부</t>
  </si>
  <si>
    <t xml:space="preserve">알레르기</t>
  </si>
  <si>
    <t xml:space="preserve">예방접종력</t>
  </si>
  <si>
    <t xml:space="preserve">심장사상충 예방</t>
  </si>
  <si>
    <t xml:space="preserve">생활 정보</t>
  </si>
  <si>
    <r>
      <rPr>
        <b val="true"/>
        <sz val="9"/>
        <rFont val="Noto Sans CJK SC"/>
        <family val="2"/>
      </rPr>
      <t xml:space="preserve">실내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실외</t>
    </r>
  </si>
  <si>
    <t xml:space="preserve">사료 종류</t>
  </si>
  <si>
    <t xml:space="preserve">급여량</t>
  </si>
  <si>
    <r>
      <rPr>
        <b val="true"/>
        <sz val="9"/>
        <rFont val="Noto Sans CJK SC"/>
        <family val="2"/>
      </rPr>
      <t xml:space="preserve">다견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다묘 여부</t>
    </r>
  </si>
  <si>
    <t xml:space="preserve">운동량</t>
  </si>
  <si>
    <t xml:space="preserve">스트레스 요인</t>
  </si>
  <si>
    <t xml:space="preserve">보호자 식별</t>
  </si>
  <si>
    <r>
      <rPr>
        <b val="true"/>
        <sz val="9"/>
        <rFont val="Noto Sans CJK SC"/>
        <family val="2"/>
      </rPr>
      <t xml:space="preserve">보호자 </t>
    </r>
    <r>
      <rPr>
        <b val="true"/>
        <sz val="9"/>
        <rFont val="Arial"/>
        <family val="0"/>
        <charset val="1"/>
      </rPr>
      <t xml:space="preserve">ID</t>
    </r>
  </si>
  <si>
    <r>
      <rPr>
        <b val="true"/>
        <sz val="9"/>
        <rFont val="Noto Sans CJK SC"/>
        <family val="2"/>
      </rPr>
      <t xml:space="preserve">성명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연락처</t>
    </r>
  </si>
  <si>
    <t xml:space="preserve">보유 반려동물 수</t>
  </si>
  <si>
    <r>
      <rPr>
        <b val="true"/>
        <sz val="9"/>
        <rFont val="Noto Sans CJK SC"/>
        <family val="2"/>
      </rPr>
      <t xml:space="preserve">주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보조 보호자</t>
    </r>
  </si>
  <si>
    <t xml:space="preserve">회원 등급</t>
  </si>
  <si>
    <t xml:space="preserve">가입 채널</t>
  </si>
  <si>
    <t xml:space="preserve">보호자 특성</t>
  </si>
  <si>
    <t xml:space="preserve">연령대</t>
  </si>
  <si>
    <t xml:space="preserve">거주 지역</t>
  </si>
  <si>
    <t xml:space="preserve">반려 경험 연수</t>
  </si>
  <si>
    <t xml:space="preserve">희망 설명 난이도</t>
  </si>
  <si>
    <t xml:space="preserve">사용 언어</t>
  </si>
  <si>
    <r>
      <rPr>
        <b val="true"/>
        <sz val="9"/>
        <rFont val="Noto Sans CJK SC"/>
        <family val="2"/>
      </rPr>
      <t xml:space="preserve">관심 축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비용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예후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</si>
  <si>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동의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권리</t>
    </r>
  </si>
  <si>
    <t xml:space="preserve">개인정보 수집 동의</t>
  </si>
  <si>
    <t xml:space="preserve">진료정보 활용 동의</t>
  </si>
  <si>
    <t xml:space="preserve">학습 활용 동의</t>
  </si>
  <si>
    <t xml:space="preserve">마케팅 수신 동의</t>
  </si>
  <si>
    <r>
      <rPr>
        <b val="true"/>
        <sz val="9"/>
        <rFont val="Noto Sans CJK SC"/>
        <family val="2"/>
      </rPr>
      <t xml:space="preserve">동의 일시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버전</t>
    </r>
  </si>
  <si>
    <t xml:space="preserve">철회 이력</t>
  </si>
  <si>
    <r>
      <rPr>
        <sz val="9"/>
        <rFont val="Arial"/>
        <family val="0"/>
        <charset val="1"/>
      </rPr>
      <t xml:space="preserve">ID </t>
    </r>
    <r>
      <rPr>
        <sz val="9"/>
        <rFont val="Noto Sans CJK SC"/>
        <family val="2"/>
      </rPr>
      <t xml:space="preserve">매핑</t>
    </r>
  </si>
  <si>
    <r>
      <rPr>
        <b val="true"/>
        <sz val="9"/>
        <rFont val="Noto Sans CJK SC"/>
        <family val="2"/>
      </rPr>
      <t xml:space="preserve">사업부 간 </t>
    </r>
    <r>
      <rPr>
        <b val="true"/>
        <sz val="9"/>
        <rFont val="Arial"/>
        <family val="0"/>
        <charset val="1"/>
      </rPr>
      <t xml:space="preserve">ID </t>
    </r>
    <r>
      <rPr>
        <b val="true"/>
        <sz val="9"/>
        <rFont val="Noto Sans CJK SC"/>
        <family val="2"/>
      </rPr>
      <t xml:space="preserve">연결</t>
    </r>
  </si>
  <si>
    <t xml:space="preserve">병원 코드 체계</t>
  </si>
  <si>
    <t xml:space="preserve">동명이인 처리</t>
  </si>
  <si>
    <t xml:space="preserve">보호자 변경 이력</t>
  </si>
  <si>
    <t xml:space="preserve">전원 시 이관</t>
  </si>
  <si>
    <t xml:space="preserve">마스터 갱신 주기</t>
  </si>
  <si>
    <t xml:space="preserve">⑥</t>
  </si>
  <si>
    <r>
      <rPr>
        <sz val="9"/>
        <rFont val="Noto Sans CJK SC"/>
        <family val="2"/>
      </rPr>
      <t xml:space="preserve">통합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품질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거버넌스</t>
    </r>
  </si>
  <si>
    <t xml:space="preserve">내부 가공</t>
  </si>
  <si>
    <r>
      <rPr>
        <sz val="9"/>
        <rFont val="Noto Sans CJK SC"/>
        <family val="2"/>
      </rPr>
      <t xml:space="preserve">수집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연계</t>
    </r>
  </si>
  <si>
    <t xml:space="preserve">연동 대상 시스템</t>
  </si>
  <si>
    <r>
      <rPr>
        <b val="true"/>
        <sz val="9"/>
        <rFont val="Noto Sans CJK SC"/>
        <family val="2"/>
      </rPr>
      <t xml:space="preserve">연동 방식</t>
    </r>
    <r>
      <rPr>
        <b val="true"/>
        <sz val="9"/>
        <rFont val="Arial"/>
        <family val="0"/>
        <charset val="1"/>
      </rPr>
      <t xml:space="preserve">(API · </t>
    </r>
    <r>
      <rPr>
        <b val="true"/>
        <sz val="9"/>
        <rFont val="Noto Sans CJK SC"/>
        <family val="2"/>
      </rPr>
      <t xml:space="preserve">배치</t>
    </r>
    <r>
      <rPr>
        <b val="true"/>
        <sz val="9"/>
        <rFont val="Arial"/>
        <family val="0"/>
        <charset val="1"/>
      </rPr>
      <t xml:space="preserve">)</t>
    </r>
  </si>
  <si>
    <t xml:space="preserve">수집 주기</t>
  </si>
  <si>
    <r>
      <rPr>
        <b val="true"/>
        <sz val="9"/>
        <rFont val="Noto Sans CJK SC"/>
        <family val="2"/>
      </rPr>
      <t xml:space="preserve">실시간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비실시간</t>
    </r>
  </si>
  <si>
    <t xml:space="preserve">전송 실패 재처리</t>
  </si>
  <si>
    <t xml:space="preserve">원천 변경 감지</t>
  </si>
  <si>
    <r>
      <rPr>
        <sz val="9"/>
        <rFont val="Noto Sans CJK SC"/>
        <family val="2"/>
      </rPr>
      <t xml:space="preserve">표준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코드</t>
    </r>
  </si>
  <si>
    <r>
      <rPr>
        <b val="true"/>
        <sz val="9"/>
        <rFont val="Noto Sans CJK SC"/>
        <family val="2"/>
      </rPr>
      <t xml:space="preserve">진단명 표준</t>
    </r>
    <r>
      <rPr>
        <b val="true"/>
        <sz val="9"/>
        <rFont val="Arial"/>
        <family val="0"/>
        <charset val="1"/>
      </rPr>
      <t xml:space="preserve">(VeNom)</t>
    </r>
  </si>
  <si>
    <t xml:space="preserve">약물 코드 체계</t>
  </si>
  <si>
    <t xml:space="preserve">검사 항목 코드</t>
  </si>
  <si>
    <t xml:space="preserve">단위 표준화</t>
  </si>
  <si>
    <r>
      <rPr>
        <b val="true"/>
        <sz val="9"/>
        <rFont val="Noto Sans CJK SC"/>
        <family val="2"/>
      </rPr>
      <t xml:space="preserve">축종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품종 코드</t>
    </r>
  </si>
  <si>
    <t xml:space="preserve">매핑 테이블 관리</t>
  </si>
  <si>
    <t xml:space="preserve">시점 정합</t>
  </si>
  <si>
    <t xml:space="preserve">이벤트 타임스탬프</t>
  </si>
  <si>
    <r>
      <rPr>
        <b val="true"/>
        <sz val="9"/>
        <rFont val="Noto Sans CJK SC"/>
        <family val="2"/>
      </rPr>
      <t xml:space="preserve">시간대</t>
    </r>
    <r>
      <rPr>
        <b val="true"/>
        <sz val="9"/>
        <rFont val="Arial"/>
        <family val="0"/>
        <charset val="1"/>
      </rPr>
      <t xml:space="preserve">(TZ) </t>
    </r>
    <r>
      <rPr>
        <b val="true"/>
        <sz val="9"/>
        <rFont val="Noto Sans CJK SC"/>
        <family val="2"/>
      </rPr>
      <t xml:space="preserve">통일</t>
    </r>
  </si>
  <si>
    <t xml:space="preserve">검사–영상 시간차</t>
  </si>
  <si>
    <t xml:space="preserve">에피소드 정의</t>
  </si>
  <si>
    <t xml:space="preserve">내원 단위 묶음</t>
  </si>
  <si>
    <t xml:space="preserve">순서 역전 처리</t>
  </si>
  <si>
    <t xml:space="preserve">품질 지표</t>
  </si>
  <si>
    <t xml:space="preserve">결측률</t>
  </si>
  <si>
    <t xml:space="preserve">이상치 비율</t>
  </si>
  <si>
    <t xml:space="preserve">중복 레코드</t>
  </si>
  <si>
    <t xml:space="preserve">라벨 일치도</t>
  </si>
  <si>
    <t xml:space="preserve">품질 스코어카드</t>
  </si>
  <si>
    <r>
      <rPr>
        <sz val="9"/>
        <rFont val="Noto Sans CJK SC"/>
        <family val="2"/>
      </rPr>
      <t xml:space="preserve">비식별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보안</t>
    </r>
  </si>
  <si>
    <t xml:space="preserve">개인식별정보 제거</t>
  </si>
  <si>
    <r>
      <rPr>
        <b val="true"/>
        <sz val="9"/>
        <rFont val="Arial"/>
        <family val="0"/>
        <charset val="1"/>
      </rPr>
      <t xml:space="preserve">DICOM </t>
    </r>
    <r>
      <rPr>
        <b val="true"/>
        <sz val="9"/>
        <rFont val="Noto Sans CJK SC"/>
        <family val="2"/>
      </rPr>
      <t xml:space="preserve">태그 삭제</t>
    </r>
  </si>
  <si>
    <t xml:space="preserve">가명처리 기법</t>
  </si>
  <si>
    <t xml:space="preserve">재식별 위험 평가</t>
  </si>
  <si>
    <r>
      <rPr>
        <b val="true"/>
        <sz val="9"/>
        <rFont val="Noto Sans CJK SC"/>
        <family val="2"/>
      </rPr>
      <t xml:space="preserve">암호화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접근통제</t>
    </r>
  </si>
  <si>
    <t xml:space="preserve">반출 통제</t>
  </si>
  <si>
    <r>
      <rPr>
        <sz val="9"/>
        <rFont val="Noto Sans CJK SC"/>
        <family val="2"/>
      </rPr>
      <t xml:space="preserve">법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제도</t>
    </r>
  </si>
  <si>
    <t xml:space="preserve">수의사법 진단 주체</t>
  </si>
  <si>
    <t xml:space="preserve">개인정보보호법</t>
  </si>
  <si>
    <t xml:space="preserve">동물보호법</t>
  </si>
  <si>
    <t xml:space="preserve">의료기기 해당 여부</t>
  </si>
  <si>
    <r>
      <rPr>
        <b val="true"/>
        <sz val="9"/>
        <rFont val="Noto Sans CJK SC"/>
        <family val="2"/>
      </rPr>
      <t xml:space="preserve">광고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표현 규제</t>
    </r>
  </si>
  <si>
    <t xml:space="preserve">데이터 제공 계약</t>
  </si>
  <si>
    <r>
      <rPr>
        <sz val="9"/>
        <rFont val="Noto Sans CJK SC"/>
        <family val="2"/>
      </rPr>
      <t xml:space="preserve">저장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운영</t>
    </r>
  </si>
  <si>
    <r>
      <rPr>
        <b val="true"/>
        <sz val="9"/>
        <rFont val="Arial"/>
        <family val="0"/>
        <charset val="1"/>
      </rPr>
      <t xml:space="preserve">Raw · Curated </t>
    </r>
    <r>
      <rPr>
        <b val="true"/>
        <sz val="9"/>
        <rFont val="Noto Sans CJK SC"/>
        <family val="2"/>
      </rPr>
      <t xml:space="preserve">구조</t>
    </r>
  </si>
  <si>
    <t xml:space="preserve">버전 관리</t>
  </si>
  <si>
    <t xml:space="preserve">데이터 계보</t>
  </si>
  <si>
    <r>
      <rPr>
        <b val="true"/>
        <sz val="9"/>
        <rFont val="Noto Sans CJK SC"/>
        <family val="2"/>
      </rPr>
      <t xml:space="preserve">카탈로그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사전</t>
    </r>
  </si>
  <si>
    <t xml:space="preserve">저장 비용</t>
  </si>
  <si>
    <r>
      <rPr>
        <sz val="9"/>
        <rFont val="Noto Sans CJK SC"/>
        <family val="2"/>
      </rPr>
      <t xml:space="preserve">접근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조직</t>
    </r>
  </si>
  <si>
    <t xml:space="preserve">역할별 권한</t>
  </si>
  <si>
    <t xml:space="preserve">사업부 간 공유 범위</t>
  </si>
  <si>
    <t xml:space="preserve">데이터 오너십</t>
  </si>
  <si>
    <t xml:space="preserve">심의 절차</t>
  </si>
  <si>
    <t xml:space="preserve">감사 로그</t>
  </si>
  <si>
    <t xml:space="preserve">사고 대응 절차</t>
  </si>
  <si>
    <t xml:space="preserve">⑦</t>
  </si>
  <si>
    <r>
      <rPr>
        <sz val="9"/>
        <rFont val="Noto Sans CJK SC"/>
        <family val="2"/>
      </rPr>
      <t xml:space="preserve">멀티모달 </t>
    </r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학습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판독</t>
    </r>
  </si>
  <si>
    <t xml:space="preserve">내부 생성</t>
  </si>
  <si>
    <t xml:space="preserve">학습 데이터셋</t>
  </si>
  <si>
    <t xml:space="preserve">총 케이스 수</t>
  </si>
  <si>
    <r>
      <rPr>
        <b val="true"/>
        <sz val="9"/>
        <rFont val="Noto Sans CJK SC"/>
        <family val="2"/>
      </rPr>
      <t xml:space="preserve">축종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품종 분포</t>
    </r>
  </si>
  <si>
    <t xml:space="preserve">질환별 분포</t>
  </si>
  <si>
    <r>
      <rPr>
        <b val="true"/>
        <sz val="9"/>
        <rFont val="Noto Sans CJK SC"/>
        <family val="2"/>
      </rPr>
      <t xml:space="preserve">정상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이상 비율</t>
    </r>
  </si>
  <si>
    <r>
      <rPr>
        <b val="true"/>
        <sz val="9"/>
        <rFont val="Noto Sans CJK SC"/>
        <family val="2"/>
      </rPr>
      <t xml:space="preserve">학습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검증 분할</t>
    </r>
  </si>
  <si>
    <t xml:space="preserve">병원 간 분할</t>
  </si>
  <si>
    <r>
      <rPr>
        <sz val="9"/>
        <rFont val="Noto Sans CJK SC"/>
        <family val="2"/>
      </rPr>
      <t xml:space="preserve">라벨링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정답</t>
    </r>
  </si>
  <si>
    <t xml:space="preserve">병변 클래스 정의</t>
  </si>
  <si>
    <r>
      <rPr>
        <b val="true"/>
        <sz val="9"/>
        <rFont val="Noto Sans CJK SC"/>
        <family val="2"/>
      </rPr>
      <t xml:space="preserve">박스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분할 마스크</t>
    </r>
  </si>
  <si>
    <t xml:space="preserve">라벨링 가이드</t>
  </si>
  <si>
    <r>
      <rPr>
        <b val="true"/>
        <sz val="9"/>
        <rFont val="Noto Sans CJK SC"/>
        <family val="2"/>
      </rPr>
      <t xml:space="preserve">전문의 검증</t>
    </r>
    <r>
      <rPr>
        <b val="true"/>
        <sz val="9"/>
        <rFont val="Arial"/>
        <family val="0"/>
        <charset val="1"/>
      </rPr>
      <t xml:space="preserve">(GT)</t>
    </r>
  </si>
  <si>
    <t xml:space="preserve">판독자 간 일치도</t>
  </si>
  <si>
    <t xml:space="preserve">라벨 버전</t>
  </si>
  <si>
    <t xml:space="preserve">모달리티 결합</t>
  </si>
  <si>
    <t xml:space="preserve">영상 임베딩</t>
  </si>
  <si>
    <t xml:space="preserve">수치 정규화</t>
  </si>
  <si>
    <t xml:space="preserve">투약 이력 인코딩</t>
  </si>
  <si>
    <t xml:space="preserve">결측 처리 규칙</t>
  </si>
  <si>
    <t xml:space="preserve">시계열 윈도우</t>
  </si>
  <si>
    <t xml:space="preserve">모달리티 누락 대응</t>
  </si>
  <si>
    <r>
      <rPr>
        <sz val="9"/>
        <rFont val="Noto Sans CJK SC"/>
        <family val="2"/>
      </rPr>
      <t xml:space="preserve">모델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추론</t>
    </r>
  </si>
  <si>
    <r>
      <rPr>
        <b val="true"/>
        <sz val="9"/>
        <rFont val="Noto Sans CJK SC"/>
        <family val="2"/>
      </rPr>
      <t xml:space="preserve">모델 구조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버전</t>
    </r>
  </si>
  <si>
    <t xml:space="preserve">추론 소요 시간</t>
  </si>
  <si>
    <t xml:space="preserve">병변 검출 결과</t>
  </si>
  <si>
    <t xml:space="preserve">감별진단 후보</t>
  </si>
  <si>
    <t xml:space="preserve">신뢰도 점수</t>
  </si>
  <si>
    <r>
      <rPr>
        <b val="true"/>
        <sz val="9"/>
        <rFont val="Noto Sans CJK SC"/>
        <family val="2"/>
      </rPr>
      <t xml:space="preserve">근거 영역</t>
    </r>
    <r>
      <rPr>
        <b val="true"/>
        <sz val="9"/>
        <rFont val="Arial"/>
        <family val="0"/>
        <charset val="1"/>
      </rPr>
      <t xml:space="preserve">(CAM)</t>
    </r>
  </si>
  <si>
    <t xml:space="preserve">성능 평가</t>
  </si>
  <si>
    <r>
      <rPr>
        <b val="true"/>
        <sz val="9"/>
        <rFont val="Noto Sans CJK SC"/>
        <family val="2"/>
      </rPr>
      <t xml:space="preserve">민감도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특이도</t>
    </r>
  </si>
  <si>
    <t xml:space="preserve">AUROC</t>
  </si>
  <si>
    <t xml:space="preserve">위양성률</t>
  </si>
  <si>
    <t xml:space="preserve">질환별 성능</t>
  </si>
  <si>
    <t xml:space="preserve">축종별 성능 편차</t>
  </si>
  <si>
    <t xml:space="preserve">외부 병원 검증</t>
  </si>
  <si>
    <t xml:space="preserve">소견문 생성</t>
  </si>
  <si>
    <t xml:space="preserve">문장 템플릿</t>
  </si>
  <si>
    <r>
      <rPr>
        <b val="true"/>
        <sz val="9"/>
        <rFont val="Noto Sans CJK SC"/>
        <family val="2"/>
      </rPr>
      <t xml:space="preserve">생성 길이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톤</t>
    </r>
  </si>
  <si>
    <t xml:space="preserve">근거 인용 방식</t>
  </si>
  <si>
    <t xml:space="preserve">환각 검출 규칙</t>
  </si>
  <si>
    <t xml:space="preserve">금칙 표현</t>
  </si>
  <si>
    <t xml:space="preserve">확정 표현 회피</t>
  </si>
  <si>
    <t xml:space="preserve">피드백 루프</t>
  </si>
  <si>
    <t xml:space="preserve">수의사 수정 로그</t>
  </si>
  <si>
    <t xml:space="preserve">반려 사유 코드</t>
  </si>
  <si>
    <r>
      <rPr>
        <b val="true"/>
        <sz val="9"/>
        <rFont val="Noto Sans CJK SC"/>
        <family val="2"/>
      </rPr>
      <t xml:space="preserve">오탐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미탐 케이스</t>
    </r>
  </si>
  <si>
    <t xml:space="preserve">재학습 주기</t>
  </si>
  <si>
    <t xml:space="preserve">데이터 증분량</t>
  </si>
  <si>
    <t xml:space="preserve">성능 변화 추적</t>
  </si>
  <si>
    <r>
      <rPr>
        <sz val="9"/>
        <rFont val="Noto Sans CJK SC"/>
        <family val="2"/>
      </rPr>
      <t xml:space="preserve">운영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리스크</t>
    </r>
  </si>
  <si>
    <t xml:space="preserve">모델 드리프트 감시</t>
  </si>
  <si>
    <t xml:space="preserve">롤백 절차</t>
  </si>
  <si>
    <t xml:space="preserve">저품질 입력 차단</t>
  </si>
  <si>
    <t xml:space="preserve">판독 불가 반환</t>
  </si>
  <si>
    <t xml:space="preserve">장애 대응</t>
  </si>
  <si>
    <t xml:space="preserve">모델 카드 기록</t>
  </si>
  <si>
    <t xml:space="preserve">⑧</t>
  </si>
  <si>
    <t xml:space="preserve">수의사용 판독 초안</t>
  </si>
  <si>
    <t xml:space="preserve">초안 구성</t>
  </si>
  <si>
    <t xml:space="preserve">소견 요약문</t>
  </si>
  <si>
    <t xml:space="preserve">관찰 소견 목록</t>
  </si>
  <si>
    <t xml:space="preserve">병변 위치 표기</t>
  </si>
  <si>
    <t xml:space="preserve">추가검사 권고</t>
  </si>
  <si>
    <t xml:space="preserve">신뢰도 표기</t>
  </si>
  <si>
    <t xml:space="preserve">근거 제시</t>
  </si>
  <si>
    <t xml:space="preserve">영상 오버레이</t>
  </si>
  <si>
    <t xml:space="preserve">참조 수치 강조</t>
  </si>
  <si>
    <t xml:space="preserve">관련 투약 이력</t>
  </si>
  <si>
    <t xml:space="preserve">유사 증례</t>
  </si>
  <si>
    <t xml:space="preserve">판단 근거 문장</t>
  </si>
  <si>
    <t xml:space="preserve">참고 문헌</t>
  </si>
  <si>
    <r>
      <rPr>
        <sz val="9"/>
        <rFont val="Noto Sans CJK SC"/>
        <family val="2"/>
      </rPr>
      <t xml:space="preserve">화면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조작</t>
    </r>
  </si>
  <si>
    <r>
      <rPr>
        <b val="true"/>
        <sz val="9"/>
        <rFont val="Noto Sans CJK SC"/>
        <family val="2"/>
      </rPr>
      <t xml:space="preserve">영상 확대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비교</t>
    </r>
  </si>
  <si>
    <r>
      <rPr>
        <b val="true"/>
        <sz val="9"/>
        <rFont val="Noto Sans CJK SC"/>
        <family val="2"/>
      </rPr>
      <t xml:space="preserve">오버레이 </t>
    </r>
    <r>
      <rPr>
        <b val="true"/>
        <sz val="9"/>
        <rFont val="Arial"/>
        <family val="0"/>
        <charset val="1"/>
      </rPr>
      <t xml:space="preserve">ON/OFF</t>
    </r>
  </si>
  <si>
    <t xml:space="preserve">이전 검사 병렬 보기</t>
  </si>
  <si>
    <t xml:space="preserve">단축키</t>
  </si>
  <si>
    <t xml:space="preserve">템플릿 호출</t>
  </si>
  <si>
    <t xml:space="preserve">다중 모니터</t>
  </si>
  <si>
    <r>
      <rPr>
        <sz val="9"/>
        <rFont val="Noto Sans CJK SC"/>
        <family val="2"/>
      </rPr>
      <t xml:space="preserve">검토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수정</t>
    </r>
  </si>
  <si>
    <t xml:space="preserve">문장 단위 수정</t>
  </si>
  <si>
    <r>
      <rPr>
        <b val="true"/>
        <sz val="9"/>
        <rFont val="Noto Sans CJK SC"/>
        <family val="2"/>
      </rPr>
      <t xml:space="preserve">수정 전후 </t>
    </r>
    <r>
      <rPr>
        <b val="true"/>
        <sz val="9"/>
        <rFont val="Arial"/>
        <family val="0"/>
        <charset val="1"/>
      </rPr>
      <t xml:space="preserve">diff</t>
    </r>
  </si>
  <si>
    <t xml:space="preserve">반려 사유 선택</t>
  </si>
  <si>
    <t xml:space="preserve">코멘트 입력</t>
  </si>
  <si>
    <t xml:space="preserve">재판독 요청</t>
  </si>
  <si>
    <t xml:space="preserve">전문의 의뢰</t>
  </si>
  <si>
    <r>
      <rPr>
        <sz val="9"/>
        <rFont val="Noto Sans CJK SC"/>
        <family val="2"/>
      </rPr>
      <t xml:space="preserve">승인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책임</t>
    </r>
  </si>
  <si>
    <r>
      <rPr>
        <b val="true"/>
        <sz val="9"/>
        <rFont val="Noto Sans CJK SC"/>
        <family val="2"/>
      </rPr>
      <t xml:space="preserve">최종 승인자 </t>
    </r>
    <r>
      <rPr>
        <b val="true"/>
        <sz val="9"/>
        <rFont val="Arial"/>
        <family val="0"/>
        <charset val="1"/>
      </rPr>
      <t xml:space="preserve">ID</t>
    </r>
  </si>
  <si>
    <t xml:space="preserve">승인 일시</t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</si>
  <si>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Noto Sans CJK SC"/>
        <family val="2"/>
      </rPr>
      <t xml:space="preserve">보조 표기</t>
    </r>
  </si>
  <si>
    <t xml:space="preserve">전자서명</t>
  </si>
  <si>
    <t xml:space="preserve">수정 불가 잠금</t>
  </si>
  <si>
    <t xml:space="preserve">기록 연계</t>
  </si>
  <si>
    <r>
      <rPr>
        <b val="true"/>
        <sz val="9"/>
        <rFont val="Arial"/>
        <family val="0"/>
        <charset val="1"/>
      </rPr>
      <t xml:space="preserve">EMR </t>
    </r>
    <r>
      <rPr>
        <b val="true"/>
        <sz val="9"/>
        <rFont val="Noto Sans CJK SC"/>
        <family val="2"/>
      </rPr>
      <t xml:space="preserve">자동 입력</t>
    </r>
  </si>
  <si>
    <t xml:space="preserve">진단명 코드 부여</t>
  </si>
  <si>
    <t xml:space="preserve">처방 연계</t>
  </si>
  <si>
    <t xml:space="preserve">다음 검사 예약</t>
  </si>
  <si>
    <t xml:space="preserve">경과 기록</t>
  </si>
  <si>
    <t xml:space="preserve">청구 항목 연계</t>
  </si>
  <si>
    <t xml:space="preserve">사용성 지표</t>
  </si>
  <si>
    <t xml:space="preserve">케이스당 소요 시간</t>
  </si>
  <si>
    <t xml:space="preserve">초안 채택률</t>
  </si>
  <si>
    <t xml:space="preserve">문장 수정률</t>
  </si>
  <si>
    <t xml:space="preserve">반려율</t>
  </si>
  <si>
    <t xml:space="preserve">재판독 발생률</t>
  </si>
  <si>
    <t xml:space="preserve">사용 빈도</t>
  </si>
  <si>
    <t xml:space="preserve">안전장치</t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</si>
  <si>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Noto Sans CJK SC"/>
        <family val="2"/>
      </rPr>
      <t xml:space="preserve">단독 확정 금지</t>
    </r>
  </si>
  <si>
    <t xml:space="preserve">저신뢰 케이스 표시</t>
  </si>
  <si>
    <t xml:space="preserve">응급 소견 알림</t>
  </si>
  <si>
    <t xml:space="preserve">오류 신고</t>
  </si>
  <si>
    <t xml:space="preserve">면책 문구</t>
  </si>
  <si>
    <t xml:space="preserve">버전 이력 보관</t>
  </si>
  <si>
    <t xml:space="preserve">⑨</t>
  </si>
  <si>
    <r>
      <rPr>
        <sz val="9"/>
        <rFont val="Noto Sans CJK SC"/>
        <family val="2"/>
      </rPr>
      <t xml:space="preserve">보호자 설명문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수익화</t>
    </r>
  </si>
  <si>
    <t xml:space="preserve">설명문 생성</t>
  </si>
  <si>
    <t xml:space="preserve">승인 소견 기반 변환</t>
  </si>
  <si>
    <r>
      <rPr>
        <b val="true"/>
        <sz val="9"/>
        <rFont val="Noto Sans CJK SC"/>
        <family val="2"/>
      </rPr>
      <t xml:space="preserve">난이도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초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중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상</t>
    </r>
    <r>
      <rPr>
        <b val="true"/>
        <sz val="9"/>
        <rFont val="Arial"/>
        <family val="0"/>
        <charset val="1"/>
      </rPr>
      <t xml:space="preserve">)</t>
    </r>
  </si>
  <si>
    <t xml:space="preserve">문장 길이</t>
  </si>
  <si>
    <r>
      <rPr>
        <b val="true"/>
        <sz val="9"/>
        <rFont val="Noto Sans CJK SC"/>
        <family val="2"/>
      </rPr>
      <t xml:space="preserve">비유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예시</t>
    </r>
  </si>
  <si>
    <t xml:space="preserve">금칙어 필터</t>
  </si>
  <si>
    <t xml:space="preserve">확정 진단 표현 회피</t>
  </si>
  <si>
    <t xml:space="preserve">콘텐츠 구성</t>
  </si>
  <si>
    <t xml:space="preserve">쉬운 병명 풀이</t>
  </si>
  <si>
    <t xml:space="preserve">주석 표시 영상</t>
  </si>
  <si>
    <t xml:space="preserve">정상 대비 비교</t>
  </si>
  <si>
    <r>
      <rPr>
        <b val="true"/>
        <sz val="9"/>
        <rFont val="Noto Sans CJK SC"/>
        <family val="2"/>
      </rPr>
      <t xml:space="preserve">심각도 </t>
    </r>
    <r>
      <rPr>
        <b val="true"/>
        <sz val="9"/>
        <rFont val="Arial"/>
        <family val="0"/>
        <charset val="1"/>
      </rPr>
      <t xml:space="preserve">3</t>
    </r>
    <r>
      <rPr>
        <b val="true"/>
        <sz val="9"/>
        <rFont val="Noto Sans CJK SC"/>
        <family val="2"/>
      </rPr>
      <t xml:space="preserve">단계</t>
    </r>
  </si>
  <si>
    <t xml:space="preserve">용어 사전</t>
  </si>
  <si>
    <t xml:space="preserve">홈케어 지침</t>
  </si>
  <si>
    <t xml:space="preserve">맞춤 변수</t>
  </si>
  <si>
    <t xml:space="preserve">보호자 연령대</t>
  </si>
  <si>
    <t xml:space="preserve">반려 경험</t>
  </si>
  <si>
    <t xml:space="preserve">이전 열람 이력</t>
  </si>
  <si>
    <t xml:space="preserve">질환 중증도</t>
  </si>
  <si>
    <t xml:space="preserve">전달 채널</t>
  </si>
  <si>
    <t xml:space="preserve">앱 푸시</t>
  </si>
  <si>
    <t xml:space="preserve">카카오톡</t>
  </si>
  <si>
    <r>
      <rPr>
        <b val="true"/>
        <sz val="9"/>
        <rFont val="Noto Sans CJK SC"/>
        <family val="2"/>
      </rPr>
      <t xml:space="preserve">문자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이메일</t>
    </r>
  </si>
  <si>
    <r>
      <rPr>
        <b val="true"/>
        <sz val="9"/>
        <rFont val="Noto Sans CJK SC"/>
        <family val="2"/>
      </rPr>
      <t xml:space="preserve">인쇄물 </t>
    </r>
    <r>
      <rPr>
        <b val="true"/>
        <sz val="9"/>
        <rFont val="Arial"/>
        <family val="0"/>
        <charset val="1"/>
      </rPr>
      <t xml:space="preserve">QR</t>
    </r>
  </si>
  <si>
    <t xml:space="preserve">가족 공유 링크</t>
  </si>
  <si>
    <t xml:space="preserve">발송 실패 재시도</t>
  </si>
  <si>
    <t xml:space="preserve">반응 데이터</t>
  </si>
  <si>
    <r>
      <rPr>
        <b val="true"/>
        <sz val="9"/>
        <rFont val="Noto Sans CJK SC"/>
        <family val="2"/>
      </rPr>
      <t xml:space="preserve">열람 여부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시각</t>
    </r>
  </si>
  <si>
    <t xml:space="preserve">열람 소요 시간</t>
  </si>
  <si>
    <t xml:space="preserve">완독률</t>
  </si>
  <si>
    <t xml:space="preserve">재열람 횟수</t>
  </si>
  <si>
    <t xml:space="preserve">추가 질문 등록</t>
  </si>
  <si>
    <t xml:space="preserve">이해도 자가평가</t>
  </si>
  <si>
    <t xml:space="preserve">행동 전환</t>
  </si>
  <si>
    <t xml:space="preserve">추가검사 동의율</t>
  </si>
  <si>
    <t xml:space="preserve">처방 수락률</t>
  </si>
  <si>
    <t xml:space="preserve">재방문 예약률</t>
  </si>
  <si>
    <t xml:space="preserve">홈케어 이행률</t>
  </si>
  <si>
    <t xml:space="preserve">노쇼 비율</t>
  </si>
  <si>
    <t xml:space="preserve">상담 신청 수</t>
  </si>
  <si>
    <t xml:space="preserve">수익화</t>
  </si>
  <si>
    <t xml:space="preserve">구독 플랜 구분</t>
  </si>
  <si>
    <t xml:space="preserve">병원 과금 단가</t>
  </si>
  <si>
    <t xml:space="preserve">케이스당 단가</t>
  </si>
  <si>
    <t xml:space="preserve">무료→유료 전환율</t>
  </si>
  <si>
    <r>
      <rPr>
        <b val="true"/>
        <sz val="9"/>
        <rFont val="Noto Sans CJK SC"/>
        <family val="2"/>
      </rPr>
      <t xml:space="preserve">해지율</t>
    </r>
    <r>
      <rPr>
        <b val="true"/>
        <sz val="9"/>
        <rFont val="Arial"/>
        <family val="0"/>
        <charset val="1"/>
      </rPr>
      <t xml:space="preserve">(Churn)</t>
    </r>
  </si>
  <si>
    <t xml:space="preserve">선순환 지표</t>
  </si>
  <si>
    <t xml:space="preserve">누적 케이스 수</t>
  </si>
  <si>
    <t xml:space="preserve">신규 학습 데이터량</t>
  </si>
  <si>
    <t xml:space="preserve">모델 성능 개선폭</t>
  </si>
  <si>
    <t xml:space="preserve">병원 리텐션</t>
  </si>
  <si>
    <r>
      <rPr>
        <b val="true"/>
        <sz val="9"/>
        <rFont val="Noto Sans CJK SC"/>
        <family val="2"/>
      </rPr>
      <t xml:space="preserve">추천 지수</t>
    </r>
    <r>
      <rPr>
        <b val="true"/>
        <sz val="9"/>
        <rFont val="Arial"/>
        <family val="0"/>
        <charset val="1"/>
      </rPr>
      <t xml:space="preserve">(NPS)</t>
    </r>
  </si>
  <si>
    <t xml:space="preserve">데이터 기여 보상</t>
  </si>
  <si>
    <t xml:space="preserve">⑩</t>
  </si>
  <si>
    <r>
      <rPr>
        <sz val="9"/>
        <rFont val="Noto Sans CJK SC"/>
        <family val="2"/>
      </rPr>
      <t xml:space="preserve">보호자 신뢰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시장 대응</t>
    </r>
  </si>
  <si>
    <t xml:space="preserve">외부 조사</t>
  </si>
  <si>
    <r>
      <rPr>
        <sz val="9"/>
        <rFont val="Noto Sans CJK SC"/>
        <family val="2"/>
      </rPr>
      <t xml:space="preserve">불신 실태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비용</t>
    </r>
    <r>
      <rPr>
        <sz val="9"/>
        <rFont val="Arial"/>
        <family val="0"/>
        <charset val="1"/>
      </rPr>
      <t xml:space="preserve">)</t>
    </r>
  </si>
  <si>
    <t xml:space="preserve">진료비 사전 미고지</t>
  </si>
  <si>
    <t xml:space="preserve">병원 간 진료비 격차</t>
  </si>
  <si>
    <t xml:space="preserve">과잉검사 의심</t>
  </si>
  <si>
    <t xml:space="preserve">과다청구 의심</t>
  </si>
  <si>
    <r>
      <rPr>
        <b val="true"/>
        <sz val="9"/>
        <rFont val="Noto Sans CJK SC"/>
        <family val="2"/>
      </rPr>
      <t xml:space="preserve">피해 구제율 </t>
    </r>
    <r>
      <rPr>
        <b val="true"/>
        <sz val="9"/>
        <rFont val="Arial"/>
        <family val="0"/>
        <charset val="1"/>
      </rPr>
      <t xml:space="preserve">26.4%</t>
    </r>
  </si>
  <si>
    <r>
      <rPr>
        <b val="true"/>
        <sz val="9"/>
        <rFont val="Noto Sans CJK SC"/>
        <family val="2"/>
      </rPr>
      <t xml:space="preserve">진료비 부담 </t>
    </r>
    <r>
      <rPr>
        <b val="true"/>
        <sz val="9"/>
        <rFont val="Arial"/>
        <family val="0"/>
        <charset val="1"/>
      </rPr>
      <t xml:space="preserve">82.9%</t>
    </r>
  </si>
  <si>
    <r>
      <rPr>
        <sz val="9"/>
        <rFont val="Noto Sans CJK SC"/>
        <family val="2"/>
      </rPr>
      <t xml:space="preserve">불신 실태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정보</t>
    </r>
    <r>
      <rPr>
        <sz val="9"/>
        <rFont val="Arial"/>
        <family val="0"/>
        <charset val="1"/>
      </rPr>
      <t xml:space="preserve">)</t>
    </r>
  </si>
  <si>
    <t xml:space="preserve">부작용 설명 부족</t>
  </si>
  <si>
    <t xml:space="preserve">정보 비대칭</t>
  </si>
  <si>
    <t xml:space="preserve">사고 시 입증 한계</t>
  </si>
  <si>
    <t xml:space="preserve">전문어 과다 사용</t>
  </si>
  <si>
    <t xml:space="preserve">불확실성 설명 부족</t>
  </si>
  <si>
    <t xml:space="preserve">진료기록 접근 제약</t>
  </si>
  <si>
    <t xml:space="preserve">신뢰의 실제 구조</t>
  </si>
  <si>
    <r>
      <rPr>
        <b val="true"/>
        <sz val="9"/>
        <rFont val="Noto Sans CJK SC"/>
        <family val="2"/>
      </rPr>
      <t xml:space="preserve">실력 신뢰 </t>
    </r>
    <r>
      <rPr>
        <b val="true"/>
        <sz val="9"/>
        <rFont val="Arial"/>
        <family val="0"/>
        <charset val="1"/>
      </rPr>
      <t xml:space="preserve">85~90%</t>
    </r>
  </si>
  <si>
    <t xml:space="preserve">소통 부재가 원인</t>
  </si>
  <si>
    <r>
      <rPr>
        <b val="true"/>
        <sz val="9"/>
        <rFont val="Noto Sans CJK SC"/>
        <family val="2"/>
      </rPr>
      <t xml:space="preserve">오진 분쟁 </t>
    </r>
    <r>
      <rPr>
        <b val="true"/>
        <sz val="9"/>
        <rFont val="Arial"/>
        <family val="0"/>
        <charset val="1"/>
      </rPr>
      <t xml:space="preserve">10.2%</t>
    </r>
  </si>
  <si>
    <t xml:space="preserve">실력 아닌 전달 방식</t>
  </si>
  <si>
    <t xml:space="preserve">병원 이탈 사유</t>
  </si>
  <si>
    <t xml:space="preserve">재방문 중단 지점</t>
  </si>
  <si>
    <t xml:space="preserve">악순환 루프</t>
  </si>
  <si>
    <t xml:space="preserve">수의사 과도한 업무</t>
  </si>
  <si>
    <t xml:space="preserve">심층상담 시간 부족</t>
  </si>
  <si>
    <t xml:space="preserve">설명 도구 부재</t>
  </si>
  <si>
    <r>
      <rPr>
        <b val="true"/>
        <sz val="9"/>
        <rFont val="Noto Sans CJK SC"/>
        <family val="2"/>
      </rPr>
      <t xml:space="preserve">흑백 </t>
    </r>
    <r>
      <rPr>
        <b val="true"/>
        <sz val="9"/>
        <rFont val="Arial"/>
        <family val="0"/>
        <charset val="1"/>
      </rPr>
      <t xml:space="preserve">X-ray </t>
    </r>
    <r>
      <rPr>
        <b val="true"/>
        <sz val="9"/>
        <rFont val="Noto Sans CJK SC"/>
        <family val="2"/>
      </rPr>
      <t xml:space="preserve">구두설명</t>
    </r>
  </si>
  <si>
    <t xml:space="preserve">보호자 이해 불가</t>
  </si>
  <si>
    <r>
      <rPr>
        <b val="true"/>
        <sz val="9"/>
        <rFont val="Noto Sans CJK SC"/>
        <family val="2"/>
      </rPr>
      <t xml:space="preserve">불만 누적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이탈</t>
    </r>
  </si>
  <si>
    <t xml:space="preserve">업무시간 재배분</t>
  </si>
  <si>
    <r>
      <rPr>
        <b val="true"/>
        <sz val="9"/>
        <rFont val="Noto Sans CJK SC"/>
        <family val="2"/>
      </rPr>
      <t xml:space="preserve">판독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차트 </t>
    </r>
    <r>
      <rPr>
        <b val="true"/>
        <sz val="9"/>
        <rFont val="Arial"/>
        <family val="0"/>
        <charset val="1"/>
      </rPr>
      <t xml:space="preserve">60%</t>
    </r>
  </si>
  <si>
    <r>
      <rPr>
        <b val="true"/>
        <sz val="9"/>
        <rFont val="Noto Sans CJK SC"/>
        <family val="2"/>
      </rPr>
      <t xml:space="preserve">처치 </t>
    </r>
    <r>
      <rPr>
        <b val="true"/>
        <sz val="9"/>
        <rFont val="Arial"/>
        <family val="0"/>
        <charset val="1"/>
      </rPr>
      <t xml:space="preserve">30%</t>
    </r>
  </si>
  <si>
    <r>
      <rPr>
        <b val="true"/>
        <sz val="9"/>
        <rFont val="Noto Sans CJK SC"/>
        <family val="2"/>
      </rPr>
      <t xml:space="preserve">설명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소통 </t>
    </r>
    <r>
      <rPr>
        <b val="true"/>
        <sz val="9"/>
        <rFont val="Arial"/>
        <family val="0"/>
        <charset val="1"/>
      </rPr>
      <t xml:space="preserve">10%</t>
    </r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</si>
  <si>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Noto Sans CJK SC"/>
        <family val="2"/>
      </rPr>
      <t xml:space="preserve">대체 </t>
    </r>
    <r>
      <rPr>
        <b val="true"/>
        <sz val="9"/>
        <rFont val="Arial"/>
        <family val="0"/>
        <charset val="1"/>
      </rPr>
      <t xml:space="preserve">15%</t>
    </r>
  </si>
  <si>
    <r>
      <rPr>
        <b val="true"/>
        <sz val="9"/>
        <rFont val="Noto Sans CJK SC"/>
        <family val="2"/>
      </rPr>
      <t xml:space="preserve">심층상담 </t>
    </r>
    <r>
      <rPr>
        <b val="true"/>
        <sz val="9"/>
        <rFont val="Arial"/>
        <family val="0"/>
        <charset val="1"/>
      </rPr>
      <t xml:space="preserve">50%</t>
    </r>
  </si>
  <si>
    <t xml:space="preserve">상담시간 증가분</t>
  </si>
  <si>
    <t xml:space="preserve">소통 투명화 효과</t>
  </si>
  <si>
    <t xml:space="preserve">쉬운 언어 번역</t>
  </si>
  <si>
    <t xml:space="preserve">시각 자료 제공</t>
  </si>
  <si>
    <t xml:space="preserve">진료비 사전 명시</t>
  </si>
  <si>
    <t xml:space="preserve">처치 이유 명시</t>
  </si>
  <si>
    <t xml:space="preserve">이해도 향상</t>
  </si>
  <si>
    <t xml:space="preserve">재방문율 상승</t>
  </si>
  <si>
    <t xml:space="preserve">경쟁 서비스</t>
  </si>
  <si>
    <r>
      <rPr>
        <b val="true"/>
        <sz val="9"/>
        <rFont val="Arial"/>
        <family val="0"/>
        <charset val="1"/>
      </rPr>
      <t xml:space="preserve">SKT </t>
    </r>
    <r>
      <rPr>
        <b val="true"/>
        <sz val="9"/>
        <rFont val="Noto Sans CJK SC"/>
        <family val="2"/>
      </rPr>
      <t xml:space="preserve">엑스칼리버</t>
    </r>
  </si>
  <si>
    <r>
      <rPr>
        <b val="true"/>
        <sz val="9"/>
        <rFont val="Noto Sans CJK SC"/>
        <family val="2"/>
      </rPr>
      <t xml:space="preserve">우리엔 </t>
    </r>
    <r>
      <rPr>
        <b val="true"/>
        <sz val="9"/>
        <rFont val="Arial"/>
        <family val="0"/>
        <charset val="1"/>
      </rPr>
      <t xml:space="preserve">AI</t>
    </r>
  </si>
  <si>
    <t xml:space="preserve">인투펫 리포트</t>
  </si>
  <si>
    <t xml:space="preserve">티티케어 벳</t>
  </si>
  <si>
    <r>
      <rPr>
        <b val="true"/>
        <sz val="9"/>
        <rFont val="Noto Sans CJK SC"/>
        <family val="2"/>
      </rPr>
      <t xml:space="preserve">건당 과금 </t>
    </r>
    <r>
      <rPr>
        <b val="true"/>
        <sz val="9"/>
        <rFont val="Arial"/>
        <family val="0"/>
        <charset val="1"/>
      </rPr>
      <t xml:space="preserve">vs </t>
    </r>
    <r>
      <rPr>
        <b val="true"/>
        <sz val="9"/>
        <rFont val="Noto Sans CJK SC"/>
        <family val="2"/>
      </rPr>
      <t xml:space="preserve">구독</t>
    </r>
  </si>
  <si>
    <r>
      <rPr>
        <b val="true"/>
        <sz val="9"/>
        <rFont val="Arial"/>
        <family val="0"/>
        <charset val="1"/>
      </rPr>
      <t xml:space="preserve">EMR </t>
    </r>
    <r>
      <rPr>
        <b val="true"/>
        <sz val="9"/>
        <rFont val="Noto Sans CJK SC"/>
        <family val="2"/>
      </rPr>
      <t xml:space="preserve">연동 여부</t>
    </r>
  </si>
  <si>
    <t xml:space="preserve">시장 흐름</t>
  </si>
  <si>
    <r>
      <rPr>
        <b val="true"/>
        <sz val="9"/>
        <rFont val="Noto Sans CJK SC"/>
        <family val="2"/>
      </rPr>
      <t xml:space="preserve">글로벌 도입률 </t>
    </r>
    <r>
      <rPr>
        <b val="true"/>
        <sz val="9"/>
        <rFont val="Arial"/>
        <family val="0"/>
        <charset val="1"/>
      </rPr>
      <t xml:space="preserve">30%</t>
    </r>
  </si>
  <si>
    <r>
      <rPr>
        <b val="true"/>
        <sz val="9"/>
        <rFont val="Noto Sans CJK SC"/>
        <family val="2"/>
      </rPr>
      <t xml:space="preserve">연평균 </t>
    </r>
    <r>
      <rPr>
        <b val="true"/>
        <sz val="9"/>
        <rFont val="Arial"/>
        <family val="0"/>
        <charset val="1"/>
      </rPr>
      <t xml:space="preserve">7% </t>
    </r>
    <r>
      <rPr>
        <b val="true"/>
        <sz val="9"/>
        <rFont val="Noto Sans CJK SC"/>
        <family val="2"/>
      </rPr>
      <t xml:space="preserve">성장</t>
    </r>
  </si>
  <si>
    <r>
      <rPr>
        <b val="true"/>
        <sz val="9"/>
        <rFont val="Arial"/>
        <family val="0"/>
        <charset val="1"/>
      </rPr>
      <t xml:space="preserve">WSAVA </t>
    </r>
    <r>
      <rPr>
        <b val="true"/>
        <sz val="9"/>
        <rFont val="Noto Sans CJK SC"/>
        <family val="2"/>
      </rPr>
      <t xml:space="preserve">소통 역량</t>
    </r>
  </si>
  <si>
    <r>
      <rPr>
        <b val="true"/>
        <sz val="9"/>
        <rFont val="Noto Sans CJK SC"/>
        <family val="2"/>
      </rPr>
      <t xml:space="preserve">해외 진출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현지화</t>
    </r>
  </si>
  <si>
    <r>
      <rPr>
        <b val="true"/>
        <sz val="9"/>
        <rFont val="Arial"/>
        <family val="0"/>
        <charset val="1"/>
      </rPr>
      <t xml:space="preserve">B2B2C </t>
    </r>
    <r>
      <rPr>
        <b val="true"/>
        <sz val="9"/>
        <rFont val="Noto Sans CJK SC"/>
        <family val="2"/>
      </rPr>
      <t xml:space="preserve">생태계</t>
    </r>
  </si>
  <si>
    <r>
      <rPr>
        <b val="true"/>
        <sz val="9"/>
        <rFont val="Noto Sans CJK SC"/>
        <family val="2"/>
      </rPr>
      <t xml:space="preserve">락인</t>
    </r>
    <r>
      <rPr>
        <b val="true"/>
        <sz val="9"/>
        <rFont val="Arial"/>
        <family val="0"/>
        <charset val="1"/>
      </rPr>
      <t xml:space="preserve">(Lock-in) </t>
    </r>
    <r>
      <rPr>
        <b val="true"/>
        <sz val="9"/>
        <rFont val="Noto Sans CJK SC"/>
        <family val="2"/>
      </rPr>
      <t xml:space="preserve">효과</t>
    </r>
  </si>
  <si>
    <t xml:space="preserve">⑪</t>
  </si>
  <si>
    <r>
      <rPr>
        <sz val="9"/>
        <rFont val="Noto Sans CJK SC"/>
        <family val="2"/>
      </rPr>
      <t xml:space="preserve">법제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규제 리스크</t>
    </r>
  </si>
  <si>
    <t xml:space="preserve">외부 준거</t>
  </si>
  <si>
    <r>
      <rPr>
        <sz val="9"/>
        <rFont val="Noto Sans CJK SC"/>
        <family val="2"/>
      </rPr>
      <t xml:space="preserve">의료기기 허가</t>
    </r>
    <r>
      <rPr>
        <sz val="9"/>
        <rFont val="Arial"/>
        <family val="0"/>
        <charset val="1"/>
      </rPr>
      <t xml:space="preserve">(SaMD)</t>
    </r>
  </si>
  <si>
    <t xml:space="preserve">검역본부 품목허가</t>
  </si>
  <si>
    <r>
      <rPr>
        <b val="true"/>
        <sz val="9"/>
        <rFont val="Noto Sans CJK SC"/>
        <family val="2"/>
      </rPr>
      <t xml:space="preserve">진단보조</t>
    </r>
    <r>
      <rPr>
        <b val="true"/>
        <sz val="9"/>
        <rFont val="Arial"/>
        <family val="0"/>
        <charset val="1"/>
      </rPr>
      <t xml:space="preserve">SW </t>
    </r>
    <r>
      <rPr>
        <b val="true"/>
        <sz val="9"/>
        <rFont val="Noto Sans CJK SC"/>
        <family val="2"/>
      </rPr>
      <t xml:space="preserve">분류</t>
    </r>
  </si>
  <si>
    <t xml:space="preserve">소프트웨어 등급 분류</t>
  </si>
  <si>
    <t xml:space="preserve">임상 유효성 입증</t>
  </si>
  <si>
    <t xml:space="preserve">허가 심사 기간</t>
  </si>
  <si>
    <t xml:space="preserve">미허가 유통 제재</t>
  </si>
  <si>
    <r>
      <rPr>
        <sz val="9"/>
        <rFont val="Noto Sans CJK SC"/>
        <family val="2"/>
      </rPr>
      <t xml:space="preserve">진료권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</si>
  <si>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Noto Sans CJK SC"/>
        <family val="2"/>
      </rPr>
      <t xml:space="preserve">확정진단 금지</t>
    </r>
  </si>
  <si>
    <t xml:space="preserve">진단 보조 한정</t>
  </si>
  <si>
    <r>
      <rPr>
        <b val="true"/>
        <sz val="9"/>
        <rFont val="Noto Sans CJK SC"/>
        <family val="2"/>
      </rPr>
      <t xml:space="preserve">수의사 </t>
    </r>
    <r>
      <rPr>
        <b val="true"/>
        <sz val="9"/>
        <rFont val="Arial"/>
        <family val="0"/>
        <charset val="1"/>
      </rPr>
      <t xml:space="preserve">Sign-off</t>
    </r>
  </si>
  <si>
    <t xml:space="preserve">원격 처방 금지</t>
  </si>
  <si>
    <t xml:space="preserve">앱 내 치료지침 금지</t>
  </si>
  <si>
    <t xml:space="preserve">리포트 자동발송 제한</t>
  </si>
  <si>
    <r>
      <rPr>
        <sz val="9"/>
        <rFont val="Noto Sans CJK SC"/>
        <family val="2"/>
      </rPr>
      <t xml:space="preserve">사전설명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13</t>
    </r>
    <r>
      <rPr>
        <sz val="9"/>
        <rFont val="Noto Sans CJK SC"/>
        <family val="2"/>
      </rPr>
      <t xml:space="preserve">조의</t>
    </r>
    <r>
      <rPr>
        <sz val="9"/>
        <rFont val="Arial"/>
        <family val="0"/>
        <charset val="1"/>
      </rPr>
      <t xml:space="preserve">2)</t>
    </r>
  </si>
  <si>
    <t xml:space="preserve">중대진료 범위</t>
  </si>
  <si>
    <r>
      <rPr>
        <b val="true"/>
        <sz val="9"/>
        <rFont val="Noto Sans CJK SC"/>
        <family val="2"/>
      </rPr>
      <t xml:space="preserve">진단명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필요성</t>
    </r>
  </si>
  <si>
    <t xml:space="preserve">예상 진료비 고지</t>
  </si>
  <si>
    <t xml:space="preserve">치료 리스크 설명</t>
  </si>
  <si>
    <t xml:space="preserve">서면 동의</t>
  </si>
  <si>
    <t xml:space="preserve">설명 이력 보관</t>
  </si>
  <si>
    <r>
      <rPr>
        <sz val="9"/>
        <rFont val="Noto Sans CJK SC"/>
        <family val="2"/>
      </rPr>
      <t xml:space="preserve">정보공개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19</t>
    </r>
    <r>
      <rPr>
        <sz val="9"/>
        <rFont val="Noto Sans CJK SC"/>
        <family val="2"/>
      </rPr>
      <t xml:space="preserve">조</t>
    </r>
    <r>
      <rPr>
        <sz val="9"/>
        <rFont val="Arial"/>
        <family val="0"/>
        <charset val="1"/>
      </rPr>
      <t xml:space="preserve">)</t>
    </r>
  </si>
  <si>
    <t xml:space="preserve">주요 진료비 게시</t>
  </si>
  <si>
    <r>
      <rPr>
        <b val="true"/>
        <sz val="9"/>
        <rFont val="Noto Sans CJK SC"/>
        <family val="2"/>
      </rPr>
      <t xml:space="preserve">사전고지 부재 </t>
    </r>
    <r>
      <rPr>
        <b val="true"/>
        <sz val="9"/>
        <rFont val="Arial"/>
        <family val="0"/>
        <charset val="1"/>
      </rPr>
      <t xml:space="preserve">16.8%</t>
    </r>
  </si>
  <si>
    <r>
      <rPr>
        <b val="true"/>
        <sz val="9"/>
        <rFont val="Noto Sans CJK SC"/>
        <family val="2"/>
      </rPr>
      <t xml:space="preserve">기대가 대비 </t>
    </r>
    <r>
      <rPr>
        <b val="true"/>
        <sz val="9"/>
        <rFont val="Arial"/>
        <family val="0"/>
        <charset val="1"/>
      </rPr>
      <t xml:space="preserve">1.87</t>
    </r>
    <r>
      <rPr>
        <b val="true"/>
        <sz val="9"/>
        <rFont val="Noto Sans CJK SC"/>
        <family val="2"/>
      </rPr>
      <t xml:space="preserve">배</t>
    </r>
  </si>
  <si>
    <r>
      <rPr>
        <b val="true"/>
        <sz val="9"/>
        <rFont val="Noto Sans CJK SC"/>
        <family val="2"/>
      </rPr>
      <t xml:space="preserve">가격공정성 </t>
    </r>
    <r>
      <rPr>
        <b val="true"/>
        <sz val="9"/>
        <rFont val="Arial"/>
        <family val="0"/>
        <charset val="1"/>
      </rPr>
      <t xml:space="preserve">52.0</t>
    </r>
    <r>
      <rPr>
        <b val="true"/>
        <sz val="9"/>
        <rFont val="Noto Sans CJK SC"/>
        <family val="2"/>
      </rPr>
      <t xml:space="preserve">점</t>
    </r>
  </si>
  <si>
    <r>
      <rPr>
        <b val="true"/>
        <sz val="9"/>
        <rFont val="Noto Sans CJK SC"/>
        <family val="2"/>
      </rPr>
      <t xml:space="preserve">과잉진료 의심 </t>
    </r>
    <r>
      <rPr>
        <b val="true"/>
        <sz val="9"/>
        <rFont val="Arial"/>
        <family val="0"/>
        <charset val="1"/>
      </rPr>
      <t xml:space="preserve">14.2%</t>
    </r>
  </si>
  <si>
    <t xml:space="preserve">게시 갱신 주기</t>
  </si>
  <si>
    <r>
      <rPr>
        <sz val="9"/>
        <rFont val="Noto Sans CJK SC"/>
        <family val="2"/>
      </rPr>
      <t xml:space="preserve">표준코드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Arial"/>
        <family val="0"/>
        <charset val="1"/>
      </rPr>
      <t xml:space="preserve">20</t>
    </r>
    <r>
      <rPr>
        <sz val="9"/>
        <rFont val="Noto Sans CJK SC"/>
        <family val="2"/>
      </rPr>
      <t xml:space="preserve">조의</t>
    </r>
    <r>
      <rPr>
        <sz val="9"/>
        <rFont val="Arial"/>
        <family val="0"/>
        <charset val="1"/>
      </rPr>
      <t xml:space="preserve">3)</t>
    </r>
  </si>
  <si>
    <r>
      <rPr>
        <b val="true"/>
        <sz val="9"/>
        <rFont val="Noto Sans CJK SC"/>
        <family val="2"/>
      </rPr>
      <t xml:space="preserve">질병명 </t>
    </r>
    <r>
      <rPr>
        <b val="true"/>
        <sz val="9"/>
        <rFont val="Arial"/>
        <family val="0"/>
        <charset val="1"/>
      </rPr>
      <t xml:space="preserve">3,511</t>
    </r>
    <r>
      <rPr>
        <b val="true"/>
        <sz val="9"/>
        <rFont val="Noto Sans CJK SC"/>
        <family val="2"/>
      </rPr>
      <t xml:space="preserve">종</t>
    </r>
  </si>
  <si>
    <r>
      <rPr>
        <b val="true"/>
        <sz val="9"/>
        <rFont val="Noto Sans CJK SC"/>
        <family val="2"/>
      </rPr>
      <t xml:space="preserve">진료행위명 </t>
    </r>
    <r>
      <rPr>
        <b val="true"/>
        <sz val="9"/>
        <rFont val="Arial"/>
        <family val="0"/>
        <charset val="1"/>
      </rPr>
      <t xml:space="preserve">4,930</t>
    </r>
    <r>
      <rPr>
        <b val="true"/>
        <sz val="9"/>
        <rFont val="Noto Sans CJK SC"/>
        <family val="2"/>
      </rPr>
      <t xml:space="preserve">종</t>
    </r>
  </si>
  <si>
    <t xml:space="preserve">코드 매핑률</t>
  </si>
  <si>
    <t xml:space="preserve">확정진단 문구 금지</t>
  </si>
  <si>
    <t xml:space="preserve">시스템 간 호환성</t>
  </si>
  <si>
    <t xml:space="preserve">코드 개정 반영</t>
  </si>
  <si>
    <r>
      <rPr>
        <sz val="9"/>
        <rFont val="Noto Sans CJK SC"/>
        <family val="2"/>
      </rPr>
      <t xml:space="preserve">개인정보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비식별</t>
    </r>
  </si>
  <si>
    <r>
      <rPr>
        <b val="true"/>
        <sz val="9"/>
        <rFont val="Arial"/>
        <family val="0"/>
        <charset val="1"/>
      </rPr>
      <t xml:space="preserve">DICOM </t>
    </r>
    <r>
      <rPr>
        <b val="true"/>
        <sz val="9"/>
        <rFont val="Noto Sans CJK SC"/>
        <family val="2"/>
      </rPr>
      <t xml:space="preserve">메타 비식별</t>
    </r>
  </si>
  <si>
    <t xml:space="preserve">동물등록번호 암호화</t>
  </si>
  <si>
    <t xml:space="preserve">보호자 인적사항</t>
  </si>
  <si>
    <t xml:space="preserve">결제 정보</t>
  </si>
  <si>
    <r>
      <rPr>
        <b val="true"/>
        <sz val="9"/>
        <rFont val="Noto Sans CJK SC"/>
        <family val="2"/>
      </rPr>
      <t xml:space="preserve">제</t>
    </r>
    <r>
      <rPr>
        <b val="true"/>
        <sz val="9"/>
        <rFont val="Arial"/>
        <family val="0"/>
        <charset val="1"/>
      </rPr>
      <t xml:space="preserve">3</t>
    </r>
    <r>
      <rPr>
        <b val="true"/>
        <sz val="9"/>
        <rFont val="Noto Sans CJK SC"/>
        <family val="2"/>
      </rPr>
      <t xml:space="preserve">자 제공 동의</t>
    </r>
  </si>
  <si>
    <t xml:space="preserve">진료기록 접근권</t>
  </si>
  <si>
    <t xml:space="preserve">기록부 교부 법안</t>
  </si>
  <si>
    <r>
      <rPr>
        <b val="true"/>
        <sz val="9"/>
        <rFont val="Noto Sans CJK SC"/>
        <family val="2"/>
      </rPr>
      <t xml:space="preserve">요약형 자동제공 </t>
    </r>
    <r>
      <rPr>
        <b val="true"/>
        <sz val="9"/>
        <rFont val="Arial"/>
        <family val="0"/>
        <charset val="1"/>
      </rPr>
      <t xml:space="preserve">36.0%</t>
    </r>
  </si>
  <si>
    <r>
      <rPr>
        <b val="true"/>
        <sz val="9"/>
        <rFont val="Noto Sans CJK SC"/>
        <family val="2"/>
      </rPr>
      <t xml:space="preserve">인증 기반 열람 </t>
    </r>
    <r>
      <rPr>
        <b val="true"/>
        <sz val="9"/>
        <rFont val="Arial"/>
        <family val="0"/>
        <charset val="1"/>
      </rPr>
      <t xml:space="preserve">24.0%</t>
    </r>
  </si>
  <si>
    <t xml:space="preserve">열람 범위 설정</t>
  </si>
  <si>
    <t xml:space="preserve">발급 이력</t>
  </si>
  <si>
    <t xml:space="preserve">분쟁 시 입증책임</t>
  </si>
  <si>
    <r>
      <rPr>
        <sz val="9"/>
        <rFont val="Noto Sans CJK SC"/>
        <family val="2"/>
      </rPr>
      <t xml:space="preserve">기술 신뢰성 </t>
    </r>
    <r>
      <rPr>
        <sz val="9"/>
        <rFont val="Arial"/>
        <family val="0"/>
        <charset val="1"/>
      </rPr>
      <t xml:space="preserve">· XAI</t>
    </r>
  </si>
  <si>
    <t xml:space="preserve">판독 확률값 편향</t>
  </si>
  <si>
    <t xml:space="preserve">학습 데이터 편향</t>
  </si>
  <si>
    <r>
      <rPr>
        <b val="true"/>
        <sz val="9"/>
        <rFont val="Arial"/>
        <family val="0"/>
        <charset val="1"/>
      </rPr>
      <t xml:space="preserve">XAI </t>
    </r>
    <r>
      <rPr>
        <b val="true"/>
        <sz val="9"/>
        <rFont val="Noto Sans CJK SC"/>
        <family val="2"/>
      </rPr>
      <t xml:space="preserve">근거 제시</t>
    </r>
  </si>
  <si>
    <t xml:space="preserve">수의사 불신</t>
  </si>
  <si>
    <r>
      <rPr>
        <b val="true"/>
        <sz val="9"/>
        <rFont val="Arial"/>
        <family val="0"/>
        <charset val="1"/>
      </rPr>
      <t xml:space="preserve">EMR </t>
    </r>
    <r>
      <rPr>
        <b val="true"/>
        <sz val="9"/>
        <rFont val="Noto Sans CJK SC"/>
        <family val="2"/>
      </rPr>
      <t xml:space="preserve">보안 우려 </t>
    </r>
    <r>
      <rPr>
        <b val="true"/>
        <sz val="9"/>
        <rFont val="Arial"/>
        <family val="0"/>
        <charset val="1"/>
      </rPr>
      <t xml:space="preserve">40.0%</t>
    </r>
  </si>
  <si>
    <r>
      <rPr>
        <b val="true"/>
        <sz val="9"/>
        <rFont val="Noto Sans CJK SC"/>
        <family val="2"/>
      </rPr>
      <t xml:space="preserve">오진 </t>
    </r>
    <r>
      <rPr>
        <b val="true"/>
        <sz val="9"/>
        <rFont val="Arial"/>
        <family val="0"/>
        <charset val="1"/>
      </rPr>
      <t xml:space="preserve">· </t>
    </r>
    <r>
      <rPr>
        <b val="true"/>
        <sz val="9"/>
        <rFont val="Noto Sans CJK SC"/>
        <family val="2"/>
      </rPr>
      <t xml:space="preserve">책임 소재</t>
    </r>
  </si>
  <si>
    <t xml:space="preserve">인자 수</t>
  </si>
  <si>
    <t xml:space="preserve">평균 중요도</t>
  </si>
  <si>
    <t xml:space="preserve">평균 수집가능성</t>
  </si>
  <si>
    <t xml:space="preserve">평균 총점</t>
  </si>
  <si>
    <t xml:space="preserve">즉시 착수</t>
  </si>
  <si>
    <t xml:space="preserve">선결 과제</t>
  </si>
  <si>
    <r>
      <rPr>
        <sz val="10"/>
        <rFont val="Noto Sans CJK SC"/>
        <family val="2"/>
      </rPr>
      <t xml:space="preserve">혈액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진단검사</t>
    </r>
  </si>
  <si>
    <r>
      <rPr>
        <sz val="10"/>
        <rFont val="Noto Sans CJK SC"/>
        <family val="2"/>
      </rPr>
      <t xml:space="preserve">처방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투약</t>
    </r>
  </si>
  <si>
    <r>
      <rPr>
        <sz val="10"/>
        <rFont val="Noto Sans CJK SC"/>
        <family val="2"/>
      </rPr>
      <t xml:space="preserve">응급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입원</t>
    </r>
  </si>
  <si>
    <r>
      <rPr>
        <sz val="10"/>
        <rFont val="Noto Sans CJK SC"/>
        <family val="2"/>
      </rPr>
      <t xml:space="preserve">개체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보호자 마스터</t>
    </r>
  </si>
  <si>
    <r>
      <rPr>
        <sz val="10"/>
        <rFont val="Noto Sans CJK SC"/>
        <family val="2"/>
      </rPr>
      <t xml:space="preserve">통합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품질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거버넌스</t>
    </r>
  </si>
  <si>
    <r>
      <rPr>
        <sz val="10"/>
        <rFont val="Noto Sans CJK SC"/>
        <family val="2"/>
      </rPr>
      <t xml:space="preserve">멀티모달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학습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판독</t>
    </r>
  </si>
  <si>
    <r>
      <rPr>
        <sz val="10"/>
        <rFont val="Noto Sans CJK SC"/>
        <family val="2"/>
      </rPr>
      <t xml:space="preserve">보호자 설명문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수익화</t>
    </r>
  </si>
  <si>
    <r>
      <rPr>
        <sz val="10"/>
        <rFont val="Noto Sans CJK SC"/>
        <family val="2"/>
      </rPr>
      <t xml:space="preserve">보호자 신뢰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시장 대응</t>
    </r>
  </si>
  <si>
    <r>
      <rPr>
        <sz val="10"/>
        <rFont val="Noto Sans CJK SC"/>
        <family val="2"/>
      </rPr>
      <t xml:space="preserve">법제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규제 리스크</t>
    </r>
  </si>
  <si>
    <t xml:space="preserve">합계</t>
  </si>
  <si>
    <r>
      <rPr>
        <b val="true"/>
        <sz val="10"/>
        <color rgb="FFFFFFFF"/>
        <rFont val="Noto Sans CJK SC"/>
        <family val="2"/>
      </rPr>
      <t xml:space="preserve">중요도 </t>
    </r>
    <r>
      <rPr>
        <b val="true"/>
        <sz val="10"/>
        <color rgb="FFFFFFFF"/>
        <rFont val="Arial"/>
        <family val="0"/>
        <charset val="1"/>
      </rPr>
      <t xml:space="preserve">\ </t>
    </r>
    <r>
      <rPr>
        <b val="true"/>
        <sz val="10"/>
        <color rgb="FFFFFFFF"/>
        <rFont val="Noto Sans CJK SC"/>
        <family val="2"/>
      </rPr>
      <t xml:space="preserve">수집가능성</t>
    </r>
  </si>
  <si>
    <r>
      <rPr>
        <b val="true"/>
        <sz val="10"/>
        <color rgb="FFFFFFFF"/>
        <rFont val="Noto Sans CJK SC"/>
        <family val="2"/>
      </rPr>
      <t xml:space="preserve">가능성 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</si>
  <si>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가능성 </t>
    </r>
    <r>
      <rPr>
        <b val="true"/>
        <sz val="10"/>
        <color rgb="FFFFFFFF"/>
        <rFont val="Arial"/>
        <family val="0"/>
        <charset val="1"/>
      </rPr>
      <t xml:space="preserve">3</t>
    </r>
  </si>
  <si>
    <r>
      <rPr>
        <b val="true"/>
        <sz val="10"/>
        <color rgb="FFFFFFFF"/>
        <rFont val="Noto Sans CJK SC"/>
        <family val="2"/>
      </rPr>
      <t xml:space="preserve">가능성 </t>
    </r>
    <r>
      <rPr>
        <b val="true"/>
        <sz val="10"/>
        <color rgb="FFFFFFFF"/>
        <rFont val="Arial"/>
        <family val="0"/>
        <charset val="1"/>
      </rPr>
      <t xml:space="preserve">9</t>
    </r>
  </si>
  <si>
    <t xml:space="preserve">소계</t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</si>
  <si>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9</t>
    </r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</si>
  <si>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</si>
  <si>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1</t>
    </r>
  </si>
  <si>
    <t xml:space="preserve">구간 정의</t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</si>
  <si>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9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9</t>
    </r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</si>
  <si>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9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3</t>
    </r>
  </si>
  <si>
    <t xml:space="preserve">표준화 병행</t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</si>
  <si>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9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</si>
  <si>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9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</si>
  <si>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단계 확장</t>
    </r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</si>
  <si>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</si>
  <si>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3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1</t>
    </r>
  </si>
  <si>
    <t xml:space="preserve">보류</t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</si>
  <si>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9</t>
    </r>
  </si>
  <si>
    <t xml:space="preserve">여력 시 수집</t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</si>
  <si>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</si>
  <si>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1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1</t>
    </r>
  </si>
  <si>
    <t xml:space="preserve">제외</t>
  </si>
  <si>
    <t xml:space="preserve">데이터 수집성 평가 — 산출 근거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</si>
  <si>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어골도 ①</t>
    </r>
    <r>
      <rPr>
        <sz val="10"/>
        <rFont val="Arial"/>
        <family val="0"/>
        <charset val="1"/>
      </rPr>
      <t xml:space="preserve">~⑪ 11</t>
    </r>
    <r>
      <rPr>
        <sz val="10"/>
        <rFont val="Noto Sans CJK SC"/>
        <family val="2"/>
      </rPr>
      <t xml:space="preserve">장에서 소골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인자</t>
    </r>
    <r>
      <rPr>
        <sz val="10"/>
        <rFont val="Arial"/>
        <family val="0"/>
        <charset val="1"/>
      </rPr>
      <t xml:space="preserve">) 528</t>
    </r>
    <r>
      <rPr>
        <sz val="10"/>
        <rFont val="Noto Sans CJK SC"/>
        <family val="2"/>
      </rPr>
      <t xml:space="preserve">개를 전수 추출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</si>
  <si>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배점은 중분류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단위로 기준값을 부여하고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성격이 뚜렷이 다른 인자 </t>
    </r>
    <r>
      <rPr>
        <sz val="10"/>
        <rFont val="Arial"/>
        <family val="0"/>
        <charset val="1"/>
      </rPr>
      <t xml:space="preserve">172</t>
    </r>
    <r>
      <rPr>
        <sz val="10"/>
        <rFont val="Noto Sans CJK SC"/>
        <family val="2"/>
      </rPr>
      <t xml:space="preserve">개는 인자 단위로 개별 보정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</si>
  <si>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평가 척도 — </t>
    </r>
    <r>
      <rPr>
        <sz val="10"/>
        <rFont val="Arial"/>
        <family val="0"/>
        <charset val="1"/>
      </rPr>
      <t xml:space="preserve">1 · 3 · 9 (3</t>
    </r>
    <r>
      <rPr>
        <sz val="10"/>
        <rFont val="Noto Sans CJK SC"/>
        <family val="2"/>
      </rPr>
      <t xml:space="preserve">단 비선형 척도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</si>
  <si>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중요도   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서비스 기여도   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보조 지표 </t>
    </r>
    <r>
      <rPr>
        <sz val="10"/>
        <rFont val="Arial"/>
        <family val="0"/>
        <charset val="1"/>
      </rPr>
      <t xml:space="preserve">/ 3 </t>
    </r>
    <r>
      <rPr>
        <sz val="10"/>
        <rFont val="Noto Sans CJK SC"/>
        <family val="2"/>
      </rPr>
      <t xml:space="preserve">정확도 기여 </t>
    </r>
    <r>
      <rPr>
        <sz val="10"/>
        <rFont val="Arial"/>
        <family val="0"/>
        <charset val="1"/>
      </rPr>
      <t xml:space="preserve">/ 9 </t>
    </r>
    <r>
      <rPr>
        <sz val="10"/>
        <rFont val="Noto Sans CJK SC"/>
        <family val="2"/>
      </rPr>
      <t xml:space="preserve">서비스 필수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없으면 성립 불가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</si>
  <si>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   수집가능성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확보 용이성     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신규수집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표준화 필요 </t>
    </r>
    <r>
      <rPr>
        <sz val="10"/>
        <rFont val="Arial"/>
        <family val="0"/>
        <charset val="1"/>
      </rPr>
      <t xml:space="preserve">/ 3 </t>
    </r>
    <r>
      <rPr>
        <sz val="10"/>
        <rFont val="Noto Sans CJK SC"/>
        <family val="2"/>
      </rPr>
      <t xml:space="preserve">부분확보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가공 필요 </t>
    </r>
    <r>
      <rPr>
        <sz val="10"/>
        <rFont val="Arial"/>
        <family val="0"/>
        <charset val="1"/>
      </rPr>
      <t xml:space="preserve">/ 9 </t>
    </r>
    <r>
      <rPr>
        <sz val="10"/>
        <rFont val="Noto Sans CJK SC"/>
        <family val="2"/>
      </rPr>
      <t xml:space="preserve">연동 즉시확보</t>
    </r>
  </si>
  <si>
    <r>
      <rPr>
        <sz val="10"/>
        <rFont val="Arial"/>
        <family val="0"/>
        <charset val="1"/>
      </rPr>
      <t xml:space="preserve">   ※ 5</t>
    </r>
    <r>
      <rPr>
        <sz val="10"/>
        <rFont val="Noto Sans CJK SC"/>
        <family val="2"/>
      </rPr>
      <t xml:space="preserve">가 아닌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를 최상위 값으로 쓰는 이유 — </t>
    </r>
    <r>
      <rPr>
        <sz val="10"/>
        <rFont val="Arial"/>
        <family val="0"/>
        <charset val="1"/>
      </rPr>
      <t xml:space="preserve">1·3·5</t>
    </r>
    <r>
      <rPr>
        <sz val="10"/>
        <rFont val="Noto Sans CJK SC"/>
        <family val="2"/>
      </rPr>
      <t xml:space="preserve">는 등간격이라 최상위와 중간의 차이가 묻히지만</t>
    </r>
    <r>
      <rPr>
        <sz val="10"/>
        <rFont val="Arial"/>
        <family val="0"/>
        <charset val="1"/>
      </rPr>
      <t xml:space="preserve">, 1·3·9</t>
    </r>
    <r>
      <rPr>
        <sz val="10"/>
        <rFont val="Noto Sans CJK SC"/>
        <family val="2"/>
      </rPr>
      <t xml:space="preserve">는 최상위 구간을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배로 벌려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반드시 필요한 것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있으면 좋은 것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총점에서 확연히 갈림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</si>
  <si>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※ ⑦~⑨ </t>
    </r>
    <r>
      <rPr>
        <sz val="10"/>
        <rFont val="Noto Sans CJK SC"/>
        <family val="2"/>
      </rPr>
      <t xml:space="preserve">내부 생성 데이터는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생성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적재 가능성</t>
    </r>
    <r>
      <rPr>
        <sz val="10"/>
        <rFont val="Arial"/>
        <family val="0"/>
        <charset val="1"/>
      </rPr>
      <t xml:space="preserve">', ⑩ </t>
    </r>
    <r>
      <rPr>
        <sz val="10"/>
        <rFont val="Noto Sans CJK SC"/>
        <family val="2"/>
      </rPr>
      <t xml:space="preserve">시장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경쟁은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공개정보 조사 가능성</t>
    </r>
    <r>
      <rPr>
        <sz val="10"/>
        <rFont val="Arial"/>
        <family val="0"/>
        <charset val="1"/>
      </rPr>
      <t xml:space="preserve">',</t>
    </r>
  </si>
  <si>
    <r>
      <rPr>
        <sz val="10"/>
        <rFont val="Noto Sans CJK SC"/>
        <family val="2"/>
      </rPr>
      <t xml:space="preserve">     ⑪ 법제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규제는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법령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고시 확인 및 사내 문서화 가능성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해석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</si>
  <si>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총점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수집가능성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가능한 총점 조합은 </t>
    </r>
    <r>
      <rPr>
        <sz val="10"/>
        <rFont val="Arial"/>
        <family val="0"/>
        <charset val="1"/>
      </rPr>
      <t xml:space="preserve">2 / 4 / 6 / 10 / 12 / 18 </t>
    </r>
    <r>
      <rPr>
        <sz val="10"/>
        <rFont val="Noto Sans CJK SC"/>
        <family val="2"/>
      </rPr>
      <t xml:space="preserve">여섯 가지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</si>
  <si>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총점만으로 착수 순서를 정하지 않음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</si>
  <si>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우선순위 구간은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중요도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수집가능성</t>
    </r>
    <r>
      <rPr>
        <sz val="10"/>
        <rFont val="Arial"/>
        <family val="0"/>
        <charset val="1"/>
      </rPr>
      <t xml:space="preserve">] 3×3 </t>
    </r>
    <r>
      <rPr>
        <sz val="10"/>
        <rFont val="Noto Sans CJK SC"/>
        <family val="2"/>
      </rPr>
      <t xml:space="preserve">매트릭스로 판정 —</t>
    </r>
  </si>
  <si>
    <r>
      <rPr>
        <sz val="10"/>
        <rFont val="Noto Sans CJK SC"/>
        <family val="2"/>
      </rPr>
      <t xml:space="preserve">   중요도 </t>
    </r>
    <r>
      <rPr>
        <sz val="10"/>
        <rFont val="Arial"/>
        <family val="0"/>
        <charset val="1"/>
      </rPr>
      <t xml:space="preserve">9 · </t>
    </r>
    <r>
      <rPr>
        <sz val="10"/>
        <rFont val="Noto Sans CJK SC"/>
        <family val="2"/>
      </rPr>
      <t xml:space="preserve">가능성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구간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총점 </t>
    </r>
    <r>
      <rPr>
        <sz val="10"/>
        <rFont val="Arial"/>
        <family val="0"/>
        <charset val="1"/>
      </rPr>
      <t xml:space="preserve">10)</t>
    </r>
    <r>
      <rPr>
        <sz val="10"/>
        <rFont val="Noto Sans CJK SC"/>
        <family val="2"/>
      </rPr>
      <t xml:space="preserve">은 총점이 중위권이어도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선결 과제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최우선 배치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</si>
  <si>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※ 배점은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팀 자체 판단값이며 외부 출처 인용이 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병원 실사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연동 테스트 결과가 나오면 해당 셀</t>
    </r>
    <r>
      <rPr>
        <sz val="10"/>
        <rFont val="Arial"/>
        <family val="0"/>
        <charset val="1"/>
      </rPr>
      <t xml:space="preserve">(G·H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수정하면 총점과 집계가 자동 갱신됨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</si>
  <si>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※ 수정 대상 셀</t>
    </r>
    <r>
      <rPr>
        <sz val="10"/>
        <rFont val="Arial"/>
        <family val="0"/>
        <charset val="1"/>
      </rPr>
      <t xml:space="preserve">: [</t>
    </r>
    <r>
      <rPr>
        <sz val="10"/>
        <rFont val="Noto Sans CJK SC"/>
        <family val="2"/>
      </rPr>
      <t xml:space="preserve">수집성 평가표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시트의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수집가능성</t>
    </r>
    <r>
      <rPr>
        <sz val="10"/>
        <rFont val="Arial"/>
        <family val="0"/>
        <charset val="1"/>
      </rPr>
      <t xml:space="preserve">) · H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중요도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입력</t>
    </r>
    <r>
      <rPr>
        <sz val="10"/>
        <rFont val="Arial"/>
        <family val="0"/>
        <charset val="1"/>
      </rPr>
      <t xml:space="preserve">. I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총점</t>
    </r>
    <r>
      <rPr>
        <sz val="10"/>
        <rFont val="Arial"/>
        <family val="0"/>
        <charset val="1"/>
      </rPr>
      <t xml:space="preserve">)·J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우선순위 구간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수식이므로 직접 입력 금지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</si>
</sst>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name val="Arial"/>
      <family val="0"/>
      <charset val="1"/>
    </font>
    <font>
      <b val="true"/>
      <sz val="9"/>
      <name val="Noto Sans CJK SC"/>
      <family val="2"/>
    </font>
    <font>
      <b val="true"/>
      <sz val="9"/>
      <color rgb="FF0B5F5E"/>
      <name val="Arial"/>
      <family val="0"/>
      <charset val="1"/>
    </font>
    <font>
      <b val="true"/>
      <sz val="9"/>
      <color rgb="FF9B2C2C"/>
      <name val="Arial"/>
      <family val="0"/>
      <charset val="1"/>
    </font>
    <font>
      <b val="true"/>
      <sz val="9"/>
      <color rgb="FF444444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6283A"/>
        <bgColor rgb="FF003300"/>
      </patternFill>
    </fill>
    <fill>
      <patternFill patternType="solid">
        <fgColor rgb="FFDEEFED"/>
        <bgColor rgb="FFE3F1EF"/>
      </patternFill>
    </fill>
    <fill>
      <patternFill patternType="solid">
        <fgColor rgb="FFCDE7E4"/>
        <bgColor rgb="FFD8DDE2"/>
      </patternFill>
    </fill>
    <fill>
      <patternFill patternType="solid">
        <fgColor rgb="FFFBE3E4"/>
        <bgColor rgb="FFFAE9EA"/>
      </patternFill>
    </fill>
    <fill>
      <patternFill patternType="solid">
        <fgColor rgb="FFEAF1F0"/>
        <bgColor rgb="FFE3F1EF"/>
      </patternFill>
    </fill>
    <fill>
      <patternFill patternType="solid">
        <fgColor rgb="FFF1F3F5"/>
        <bgColor rgb="FFEAF1F0"/>
      </patternFill>
    </fill>
    <fill>
      <patternFill patternType="solid">
        <fgColor rgb="FFE3F1EF"/>
        <bgColor rgb="FFDEEFED"/>
      </patternFill>
    </fill>
    <fill>
      <patternFill patternType="solid">
        <fgColor rgb="FFFAE9EA"/>
        <bgColor rgb="FFFBE3E4"/>
      </patternFill>
    </fill>
    <fill>
      <patternFill patternType="solid">
        <fgColor rgb="FFF6DCDE"/>
        <bgColor rgb="FFFBE3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DE2"/>
      </left>
      <right style="thin">
        <color rgb="FFD8DDE2"/>
      </right>
      <top style="thin">
        <color rgb="FFD8DDE2"/>
      </top>
      <bottom style="thin">
        <color rgb="FFD8DD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628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FED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FBE3E4"/>
          <bgColor rgb="FF000000"/>
        </patternFill>
      </fill>
    </dxf>
    <dxf>
      <fill>
        <patternFill patternType="solid">
          <fgColor rgb="FF0B5F5E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9B2C2C"/>
          <bgColor rgb="FF000000"/>
        </patternFill>
      </fill>
    </dxf>
    <dxf>
      <fill>
        <patternFill patternType="solid">
          <fgColor rgb="FFCDE7E4"/>
          <bgColor rgb="FF000000"/>
        </patternFill>
      </fill>
    </dxf>
    <dxf>
      <fill>
        <patternFill patternType="solid">
          <fgColor rgb="FFE3F1EF"/>
          <bgColor rgb="FF000000"/>
        </patternFill>
      </fill>
    </dxf>
    <dxf>
      <fill>
        <patternFill patternType="solid">
          <fgColor rgb="FFEAF1F0"/>
          <bgColor rgb="FF000000"/>
        </patternFill>
      </fill>
    </dxf>
    <dxf>
      <fill>
        <patternFill patternType="solid">
          <fgColor rgb="FFF6DCDE"/>
          <bgColor rgb="FF000000"/>
        </patternFill>
      </fill>
    </dxf>
    <dxf>
      <fill>
        <patternFill patternType="solid">
          <fgColor rgb="FFFAE9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F5E"/>
      <rgbColor rgb="FFFBE3E4"/>
      <rgbColor rgb="FF808080"/>
      <rgbColor rgb="FF9999FF"/>
      <rgbColor rgb="FF993366"/>
      <rgbColor rgb="FFF1F3F5"/>
      <rgbColor rgb="FFDEEFED"/>
      <rgbColor rgb="FF660066"/>
      <rgbColor rgb="FFFF8080"/>
      <rgbColor rgb="FF0066CC"/>
      <rgbColor rgb="FFD8DD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1EF"/>
      <rgbColor rgb="FFCDE7E4"/>
      <rgbColor rgb="FFFAE9EA"/>
      <rgbColor rgb="FFEAF1F0"/>
      <rgbColor rgb="FFFF99CC"/>
      <rgbColor rgb="FFCC99FF"/>
      <rgbColor rgb="FFF6DC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283A"/>
      <rgbColor rgb="FF339966"/>
      <rgbColor rgb="FF003300"/>
      <rgbColor rgb="FF333300"/>
      <rgbColor rgb="FF9B2C2C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n">
        <v>1</v>
      </c>
      <c r="B2" s="3" t="s">
        <v>10</v>
      </c>
      <c r="C2" s="4" t="s">
        <v>11</v>
      </c>
      <c r="D2" s="5" t="s">
        <v>12</v>
      </c>
      <c r="E2" s="4" t="s">
        <v>13</v>
      </c>
      <c r="F2" s="6" t="s">
        <v>14</v>
      </c>
      <c r="G2" s="7" t="n">
        <v>9</v>
      </c>
      <c r="H2" s="7" t="n">
        <v>9</v>
      </c>
      <c r="I2" s="8" t="n">
        <f aca="false">G2+H2</f>
        <v>18</v>
      </c>
      <c r="J2" s="3" t="str">
        <f aca="false">IF(H2=9,IF(G2=9,"즉시 착수",IF(G2=3,"표준화 병행","선결 과제")),IF(H2=3,IF(G2=1,"보류","2단계 확장"),IF(G2=1,"제외","여력 시 수집")))</f>
        <v>즉시 착수</v>
      </c>
    </row>
    <row r="3" customFormat="false" ht="15" hidden="false" customHeight="false" outlineLevel="0" collapsed="false">
      <c r="A3" s="3" t="n">
        <v>2</v>
      </c>
      <c r="B3" s="3" t="s">
        <v>10</v>
      </c>
      <c r="C3" s="4" t="s">
        <v>11</v>
      </c>
      <c r="D3" s="5" t="s">
        <v>12</v>
      </c>
      <c r="E3" s="4" t="s">
        <v>13</v>
      </c>
      <c r="F3" s="9" t="s">
        <v>15</v>
      </c>
      <c r="G3" s="7" t="n">
        <v>9</v>
      </c>
      <c r="H3" s="7" t="n">
        <v>9</v>
      </c>
      <c r="I3" s="8" t="n">
        <f aca="false">G3+H3</f>
        <v>18</v>
      </c>
      <c r="J3" s="3" t="str">
        <f aca="false">IF(H3=9,IF(G3=9,"즉시 착수",IF(G3=3,"표준화 병행","선결 과제")),IF(H3=3,IF(G3=1,"보류","2단계 확장"),IF(G3=1,"제외","여력 시 수집")))</f>
        <v>즉시 착수</v>
      </c>
    </row>
    <row r="4" customFormat="false" ht="15" hidden="false" customHeight="false" outlineLevel="0" collapsed="false">
      <c r="A4" s="3" t="n">
        <v>3</v>
      </c>
      <c r="B4" s="3" t="s">
        <v>10</v>
      </c>
      <c r="C4" s="4" t="s">
        <v>11</v>
      </c>
      <c r="D4" s="5" t="s">
        <v>12</v>
      </c>
      <c r="E4" s="4" t="s">
        <v>13</v>
      </c>
      <c r="F4" s="6" t="s">
        <v>16</v>
      </c>
      <c r="G4" s="7" t="n">
        <v>9</v>
      </c>
      <c r="H4" s="10" t="n">
        <v>1</v>
      </c>
      <c r="I4" s="11" t="n">
        <f aca="false">G4+H4</f>
        <v>10</v>
      </c>
      <c r="J4" s="3" t="str">
        <f aca="false">IF(H4=9,IF(G4=9,"즉시 착수",IF(G4=3,"표준화 병행","선결 과제")),IF(H4=3,IF(G4=1,"보류","2단계 확장"),IF(G4=1,"제외","여력 시 수집")))</f>
        <v>여력 시 수집</v>
      </c>
    </row>
    <row r="5" customFormat="false" ht="15" hidden="false" customHeight="false" outlineLevel="0" collapsed="false">
      <c r="A5" s="3" t="n">
        <v>4</v>
      </c>
      <c r="B5" s="3" t="s">
        <v>10</v>
      </c>
      <c r="C5" s="4" t="s">
        <v>11</v>
      </c>
      <c r="D5" s="5" t="s">
        <v>12</v>
      </c>
      <c r="E5" s="4" t="s">
        <v>13</v>
      </c>
      <c r="F5" s="9" t="s">
        <v>17</v>
      </c>
      <c r="G5" s="7" t="n">
        <v>9</v>
      </c>
      <c r="H5" s="12" t="n">
        <v>3</v>
      </c>
      <c r="I5" s="13" t="n">
        <f aca="false">G5+H5</f>
        <v>12</v>
      </c>
      <c r="J5" s="3" t="str">
        <f aca="false">IF(H5=9,IF(G5=9,"즉시 착수",IF(G5=3,"표준화 병행","선결 과제")),IF(H5=3,IF(G5=1,"보류","2단계 확장"),IF(G5=1,"제외","여력 시 수집")))</f>
        <v>2단계 확장</v>
      </c>
    </row>
    <row r="6" customFormat="false" ht="15" hidden="false" customHeight="false" outlineLevel="0" collapsed="false">
      <c r="A6" s="3" t="n">
        <v>5</v>
      </c>
      <c r="B6" s="3" t="s">
        <v>10</v>
      </c>
      <c r="C6" s="4" t="s">
        <v>11</v>
      </c>
      <c r="D6" s="5" t="s">
        <v>12</v>
      </c>
      <c r="E6" s="4" t="s">
        <v>13</v>
      </c>
      <c r="F6" s="9" t="s">
        <v>18</v>
      </c>
      <c r="G6" s="7" t="n">
        <v>9</v>
      </c>
      <c r="H6" s="7" t="n">
        <v>9</v>
      </c>
      <c r="I6" s="8" t="n">
        <f aca="false">G6+H6</f>
        <v>18</v>
      </c>
      <c r="J6" s="3" t="str">
        <f aca="false">IF(H6=9,IF(G6=9,"즉시 착수",IF(G6=3,"표준화 병행","선결 과제")),IF(H6=3,IF(G6=1,"보류","2단계 확장"),IF(G6=1,"제외","여력 시 수집")))</f>
        <v>즉시 착수</v>
      </c>
    </row>
    <row r="7" customFormat="false" ht="15" hidden="false" customHeight="false" outlineLevel="0" collapsed="false">
      <c r="A7" s="3" t="n">
        <v>6</v>
      </c>
      <c r="B7" s="3" t="s">
        <v>10</v>
      </c>
      <c r="C7" s="4" t="s">
        <v>11</v>
      </c>
      <c r="D7" s="5" t="s">
        <v>12</v>
      </c>
      <c r="E7" s="4" t="s">
        <v>13</v>
      </c>
      <c r="F7" s="9" t="s">
        <v>19</v>
      </c>
      <c r="G7" s="7" t="n">
        <v>9</v>
      </c>
      <c r="H7" s="10" t="n">
        <v>1</v>
      </c>
      <c r="I7" s="11" t="n">
        <f aca="false">G7+H7</f>
        <v>10</v>
      </c>
      <c r="J7" s="3" t="str">
        <f aca="false">IF(H7=9,IF(G7=9,"즉시 착수",IF(G7=3,"표준화 병행","선결 과제")),IF(H7=3,IF(G7=1,"보류","2단계 확장"),IF(G7=1,"제외","여력 시 수집")))</f>
        <v>여력 시 수집</v>
      </c>
    </row>
    <row r="8" customFormat="false" ht="15" hidden="false" customHeight="false" outlineLevel="0" collapsed="false">
      <c r="A8" s="3" t="n">
        <v>7</v>
      </c>
      <c r="B8" s="3" t="s">
        <v>10</v>
      </c>
      <c r="C8" s="4" t="s">
        <v>11</v>
      </c>
      <c r="D8" s="5" t="s">
        <v>12</v>
      </c>
      <c r="E8" s="4" t="s">
        <v>20</v>
      </c>
      <c r="F8" s="9" t="s">
        <v>21</v>
      </c>
      <c r="G8" s="7" t="n">
        <v>9</v>
      </c>
      <c r="H8" s="7" t="n">
        <v>9</v>
      </c>
      <c r="I8" s="8" t="n">
        <f aca="false">G8+H8</f>
        <v>18</v>
      </c>
      <c r="J8" s="3" t="str">
        <f aca="false">IF(H8=9,IF(G8=9,"즉시 착수",IF(G8=3,"표준화 병행","선결 과제")),IF(H8=3,IF(G8=1,"보류","2단계 확장"),IF(G8=1,"제외","여력 시 수집")))</f>
        <v>즉시 착수</v>
      </c>
    </row>
    <row r="9" customFormat="false" ht="15" hidden="false" customHeight="false" outlineLevel="0" collapsed="false">
      <c r="A9" s="3" t="n">
        <v>8</v>
      </c>
      <c r="B9" s="3" t="s">
        <v>10</v>
      </c>
      <c r="C9" s="4" t="s">
        <v>11</v>
      </c>
      <c r="D9" s="5" t="s">
        <v>12</v>
      </c>
      <c r="E9" s="4" t="s">
        <v>20</v>
      </c>
      <c r="F9" s="9" t="s">
        <v>22</v>
      </c>
      <c r="G9" s="7" t="n">
        <v>9</v>
      </c>
      <c r="H9" s="7" t="n">
        <v>9</v>
      </c>
      <c r="I9" s="8" t="n">
        <f aca="false">G9+H9</f>
        <v>18</v>
      </c>
      <c r="J9" s="3" t="str">
        <f aca="false">IF(H9=9,IF(G9=9,"즉시 착수",IF(G9=3,"표준화 병행","선결 과제")),IF(H9=3,IF(G9=1,"보류","2단계 확장"),IF(G9=1,"제외","여력 시 수집")))</f>
        <v>즉시 착수</v>
      </c>
    </row>
    <row r="10" customFormat="false" ht="15" hidden="false" customHeight="false" outlineLevel="0" collapsed="false">
      <c r="A10" s="3" t="n">
        <v>9</v>
      </c>
      <c r="B10" s="3" t="s">
        <v>10</v>
      </c>
      <c r="C10" s="4" t="s">
        <v>11</v>
      </c>
      <c r="D10" s="5" t="s">
        <v>12</v>
      </c>
      <c r="E10" s="4" t="s">
        <v>20</v>
      </c>
      <c r="F10" s="6" t="s">
        <v>23</v>
      </c>
      <c r="G10" s="7" t="n">
        <v>9</v>
      </c>
      <c r="H10" s="7" t="n">
        <v>9</v>
      </c>
      <c r="I10" s="8" t="n">
        <f aca="false">G10+H10</f>
        <v>18</v>
      </c>
      <c r="J10" s="3" t="str">
        <f aca="false">IF(H10=9,IF(G10=9,"즉시 착수",IF(G10=3,"표준화 병행","선결 과제")),IF(H10=3,IF(G10=1,"보류","2단계 확장"),IF(G10=1,"제외","여력 시 수집")))</f>
        <v>즉시 착수</v>
      </c>
    </row>
    <row r="11" customFormat="false" ht="15" hidden="false" customHeight="false" outlineLevel="0" collapsed="false">
      <c r="A11" s="3" t="n">
        <v>10</v>
      </c>
      <c r="B11" s="3" t="s">
        <v>10</v>
      </c>
      <c r="C11" s="4" t="s">
        <v>11</v>
      </c>
      <c r="D11" s="5" t="s">
        <v>12</v>
      </c>
      <c r="E11" s="4" t="s">
        <v>20</v>
      </c>
      <c r="F11" s="9" t="s">
        <v>24</v>
      </c>
      <c r="G11" s="7" t="n">
        <v>9</v>
      </c>
      <c r="H11" s="7" t="n">
        <v>9</v>
      </c>
      <c r="I11" s="8" t="n">
        <f aca="false">G11+H11</f>
        <v>18</v>
      </c>
      <c r="J11" s="3" t="str">
        <f aca="false">IF(H11=9,IF(G11=9,"즉시 착수",IF(G11=3,"표준화 병행","선결 과제")),IF(H11=3,IF(G11=1,"보류","2단계 확장"),IF(G11=1,"제외","여력 시 수집")))</f>
        <v>즉시 착수</v>
      </c>
    </row>
    <row r="12" customFormat="false" ht="15" hidden="false" customHeight="false" outlineLevel="0" collapsed="false">
      <c r="A12" s="3" t="n">
        <v>11</v>
      </c>
      <c r="B12" s="3" t="s">
        <v>10</v>
      </c>
      <c r="C12" s="4" t="s">
        <v>11</v>
      </c>
      <c r="D12" s="5" t="s">
        <v>12</v>
      </c>
      <c r="E12" s="4" t="s">
        <v>20</v>
      </c>
      <c r="F12" s="9" t="s">
        <v>25</v>
      </c>
      <c r="G12" s="12" t="n">
        <v>3</v>
      </c>
      <c r="H12" s="10" t="n">
        <v>1</v>
      </c>
      <c r="I12" s="14" t="n">
        <f aca="false">G12+H12</f>
        <v>4</v>
      </c>
      <c r="J12" s="3" t="str">
        <f aca="false">IF(H12=9,IF(G12=9,"즉시 착수",IF(G12=3,"표준화 병행","선결 과제")),IF(H12=3,IF(G12=1,"보류","2단계 확장"),IF(G12=1,"제외","여력 시 수집")))</f>
        <v>여력 시 수집</v>
      </c>
    </row>
    <row r="13" customFormat="false" ht="15" hidden="false" customHeight="false" outlineLevel="0" collapsed="false">
      <c r="A13" s="3" t="n">
        <v>12</v>
      </c>
      <c r="B13" s="3" t="s">
        <v>10</v>
      </c>
      <c r="C13" s="4" t="s">
        <v>11</v>
      </c>
      <c r="D13" s="5" t="s">
        <v>12</v>
      </c>
      <c r="E13" s="4" t="s">
        <v>20</v>
      </c>
      <c r="F13" s="9" t="s">
        <v>26</v>
      </c>
      <c r="G13" s="12" t="n">
        <v>3</v>
      </c>
      <c r="H13" s="12" t="n">
        <v>3</v>
      </c>
      <c r="I13" s="15" t="n">
        <f aca="false">G13+H13</f>
        <v>6</v>
      </c>
      <c r="J13" s="3" t="str">
        <f aca="false">IF(H13=9,IF(G13=9,"즉시 착수",IF(G13=3,"표준화 병행","선결 과제")),IF(H13=3,IF(G13=1,"보류","2단계 확장"),IF(G13=1,"제외","여력 시 수집")))</f>
        <v>2단계 확장</v>
      </c>
    </row>
    <row r="14" customFormat="false" ht="15" hidden="false" customHeight="false" outlineLevel="0" collapsed="false">
      <c r="A14" s="3" t="n">
        <v>13</v>
      </c>
      <c r="B14" s="3" t="s">
        <v>10</v>
      </c>
      <c r="C14" s="4" t="s">
        <v>11</v>
      </c>
      <c r="D14" s="5" t="s">
        <v>12</v>
      </c>
      <c r="E14" s="4" t="s">
        <v>27</v>
      </c>
      <c r="F14" s="9" t="s">
        <v>28</v>
      </c>
      <c r="G14" s="7" t="n">
        <v>9</v>
      </c>
      <c r="H14" s="12" t="n">
        <v>3</v>
      </c>
      <c r="I14" s="13" t="n">
        <f aca="false">G14+H14</f>
        <v>12</v>
      </c>
      <c r="J14" s="3" t="str">
        <f aca="false">IF(H14=9,IF(G14=9,"즉시 착수",IF(G14=3,"표준화 병행","선결 과제")),IF(H14=3,IF(G14=1,"보류","2단계 확장"),IF(G14=1,"제외","여력 시 수집")))</f>
        <v>2단계 확장</v>
      </c>
    </row>
    <row r="15" customFormat="false" ht="15" hidden="false" customHeight="false" outlineLevel="0" collapsed="false">
      <c r="A15" s="3" t="n">
        <v>14</v>
      </c>
      <c r="B15" s="3" t="s">
        <v>10</v>
      </c>
      <c r="C15" s="4" t="s">
        <v>11</v>
      </c>
      <c r="D15" s="5" t="s">
        <v>12</v>
      </c>
      <c r="E15" s="4" t="s">
        <v>27</v>
      </c>
      <c r="F15" s="6" t="s">
        <v>29</v>
      </c>
      <c r="G15" s="7" t="n">
        <v>9</v>
      </c>
      <c r="H15" s="12" t="n">
        <v>3</v>
      </c>
      <c r="I15" s="13" t="n">
        <f aca="false">G15+H15</f>
        <v>12</v>
      </c>
      <c r="J15" s="3" t="str">
        <f aca="false">IF(H15=9,IF(G15=9,"즉시 착수",IF(G15=3,"표준화 병행","선결 과제")),IF(H15=3,IF(G15=1,"보류","2단계 확장"),IF(G15=1,"제외","여력 시 수집")))</f>
        <v>2단계 확장</v>
      </c>
    </row>
    <row r="16" customFormat="false" ht="15" hidden="false" customHeight="false" outlineLevel="0" collapsed="false">
      <c r="A16" s="3" t="n">
        <v>15</v>
      </c>
      <c r="B16" s="3" t="s">
        <v>10</v>
      </c>
      <c r="C16" s="4" t="s">
        <v>11</v>
      </c>
      <c r="D16" s="5" t="s">
        <v>12</v>
      </c>
      <c r="E16" s="4" t="s">
        <v>27</v>
      </c>
      <c r="F16" s="9" t="s">
        <v>30</v>
      </c>
      <c r="G16" s="7" t="n">
        <v>9</v>
      </c>
      <c r="H16" s="12" t="n">
        <v>3</v>
      </c>
      <c r="I16" s="13" t="n">
        <f aca="false">G16+H16</f>
        <v>12</v>
      </c>
      <c r="J16" s="3" t="str">
        <f aca="false">IF(H16=9,IF(G16=9,"즉시 착수",IF(G16=3,"표준화 병행","선결 과제")),IF(H16=3,IF(G16=1,"보류","2단계 확장"),IF(G16=1,"제외","여력 시 수집")))</f>
        <v>2단계 확장</v>
      </c>
    </row>
    <row r="17" customFormat="false" ht="15" hidden="false" customHeight="false" outlineLevel="0" collapsed="false">
      <c r="A17" s="3" t="n">
        <v>16</v>
      </c>
      <c r="B17" s="3" t="s">
        <v>10</v>
      </c>
      <c r="C17" s="4" t="s">
        <v>11</v>
      </c>
      <c r="D17" s="5" t="s">
        <v>12</v>
      </c>
      <c r="E17" s="4" t="s">
        <v>27</v>
      </c>
      <c r="F17" s="9" t="s">
        <v>31</v>
      </c>
      <c r="G17" s="12" t="n">
        <v>3</v>
      </c>
      <c r="H17" s="10" t="n">
        <v>1</v>
      </c>
      <c r="I17" s="14" t="n">
        <f aca="false">G17+H17</f>
        <v>4</v>
      </c>
      <c r="J17" s="3" t="str">
        <f aca="false">IF(H17=9,IF(G17=9,"즉시 착수",IF(G17=3,"표준화 병행","선결 과제")),IF(H17=3,IF(G17=1,"보류","2단계 확장"),IF(G17=1,"제외","여력 시 수집")))</f>
        <v>여력 시 수집</v>
      </c>
    </row>
    <row r="18" customFormat="false" ht="15" hidden="false" customHeight="false" outlineLevel="0" collapsed="false">
      <c r="A18" s="3" t="n">
        <v>17</v>
      </c>
      <c r="B18" s="3" t="s">
        <v>10</v>
      </c>
      <c r="C18" s="4" t="s">
        <v>11</v>
      </c>
      <c r="D18" s="5" t="s">
        <v>12</v>
      </c>
      <c r="E18" s="4" t="s">
        <v>27</v>
      </c>
      <c r="F18" s="9" t="s">
        <v>32</v>
      </c>
      <c r="G18" s="7" t="n">
        <v>9</v>
      </c>
      <c r="H18" s="7" t="n">
        <v>9</v>
      </c>
      <c r="I18" s="8" t="n">
        <f aca="false">G18+H18</f>
        <v>18</v>
      </c>
      <c r="J18" s="3" t="str">
        <f aca="false">IF(H18=9,IF(G18=9,"즉시 착수",IF(G18=3,"표준화 병행","선결 과제")),IF(H18=3,IF(G18=1,"보류","2단계 확장"),IF(G18=1,"제외","여력 시 수집")))</f>
        <v>즉시 착수</v>
      </c>
    </row>
    <row r="19" customFormat="false" ht="15" hidden="false" customHeight="false" outlineLevel="0" collapsed="false">
      <c r="A19" s="3" t="n">
        <v>18</v>
      </c>
      <c r="B19" s="3" t="s">
        <v>10</v>
      </c>
      <c r="C19" s="4" t="s">
        <v>11</v>
      </c>
      <c r="D19" s="5" t="s">
        <v>12</v>
      </c>
      <c r="E19" s="4" t="s">
        <v>27</v>
      </c>
      <c r="F19" s="9" t="s">
        <v>33</v>
      </c>
      <c r="G19" s="7" t="n">
        <v>9</v>
      </c>
      <c r="H19" s="10" t="n">
        <v>1</v>
      </c>
      <c r="I19" s="11" t="n">
        <f aca="false">G19+H19</f>
        <v>10</v>
      </c>
      <c r="J19" s="3" t="str">
        <f aca="false">IF(H19=9,IF(G19=9,"즉시 착수",IF(G19=3,"표준화 병행","선결 과제")),IF(H19=3,IF(G19=1,"보류","2단계 확장"),IF(G19=1,"제외","여력 시 수집")))</f>
        <v>여력 시 수집</v>
      </c>
    </row>
    <row r="20" customFormat="false" ht="15" hidden="false" customHeight="false" outlineLevel="0" collapsed="false">
      <c r="A20" s="3" t="n">
        <v>19</v>
      </c>
      <c r="B20" s="3" t="s">
        <v>10</v>
      </c>
      <c r="C20" s="4" t="s">
        <v>11</v>
      </c>
      <c r="D20" s="5" t="s">
        <v>12</v>
      </c>
      <c r="E20" s="4" t="s">
        <v>34</v>
      </c>
      <c r="F20" s="9" t="s">
        <v>35</v>
      </c>
      <c r="G20" s="7" t="n">
        <v>9</v>
      </c>
      <c r="H20" s="12" t="n">
        <v>3</v>
      </c>
      <c r="I20" s="13" t="n">
        <f aca="false">G20+H20</f>
        <v>12</v>
      </c>
      <c r="J20" s="3" t="str">
        <f aca="false">IF(H20=9,IF(G20=9,"즉시 착수",IF(G20=3,"표준화 병행","선결 과제")),IF(H20=3,IF(G20=1,"보류","2단계 확장"),IF(G20=1,"제외","여력 시 수집")))</f>
        <v>2단계 확장</v>
      </c>
    </row>
    <row r="21" customFormat="false" ht="15" hidden="false" customHeight="false" outlineLevel="0" collapsed="false">
      <c r="A21" s="3" t="n">
        <v>20</v>
      </c>
      <c r="B21" s="3" t="s">
        <v>10</v>
      </c>
      <c r="C21" s="4" t="s">
        <v>11</v>
      </c>
      <c r="D21" s="5" t="s">
        <v>12</v>
      </c>
      <c r="E21" s="4" t="s">
        <v>34</v>
      </c>
      <c r="F21" s="9" t="s">
        <v>36</v>
      </c>
      <c r="G21" s="10" t="n">
        <v>1</v>
      </c>
      <c r="H21" s="7" t="n">
        <v>9</v>
      </c>
      <c r="I21" s="11" t="n">
        <f aca="false">G21+H21</f>
        <v>10</v>
      </c>
      <c r="J21" s="3" t="str">
        <f aca="false">IF(H21=9,IF(G21=9,"즉시 착수",IF(G21=3,"표준화 병행","선결 과제")),IF(H21=3,IF(G21=1,"보류","2단계 확장"),IF(G21=1,"제외","여력 시 수집")))</f>
        <v>선결 과제</v>
      </c>
    </row>
    <row r="22" customFormat="false" ht="15" hidden="false" customHeight="false" outlineLevel="0" collapsed="false">
      <c r="A22" s="3" t="n">
        <v>21</v>
      </c>
      <c r="B22" s="3" t="s">
        <v>10</v>
      </c>
      <c r="C22" s="4" t="s">
        <v>11</v>
      </c>
      <c r="D22" s="5" t="s">
        <v>12</v>
      </c>
      <c r="E22" s="4" t="s">
        <v>34</v>
      </c>
      <c r="F22" s="9" t="s">
        <v>37</v>
      </c>
      <c r="G22" s="10" t="n">
        <v>1</v>
      </c>
      <c r="H22" s="12" t="n">
        <v>3</v>
      </c>
      <c r="I22" s="14" t="n">
        <f aca="false">G22+H22</f>
        <v>4</v>
      </c>
      <c r="J22" s="3" t="str">
        <f aca="false">IF(H22=9,IF(G22=9,"즉시 착수",IF(G22=3,"표준화 병행","선결 과제")),IF(H22=3,IF(G22=1,"보류","2단계 확장"),IF(G22=1,"제외","여력 시 수집")))</f>
        <v>보류</v>
      </c>
    </row>
    <row r="23" customFormat="false" ht="15" hidden="false" customHeight="false" outlineLevel="0" collapsed="false">
      <c r="A23" s="3" t="n">
        <v>22</v>
      </c>
      <c r="B23" s="3" t="s">
        <v>10</v>
      </c>
      <c r="C23" s="4" t="s">
        <v>11</v>
      </c>
      <c r="D23" s="5" t="s">
        <v>12</v>
      </c>
      <c r="E23" s="4" t="s">
        <v>34</v>
      </c>
      <c r="F23" s="9" t="s">
        <v>38</v>
      </c>
      <c r="G23" s="12" t="n">
        <v>3</v>
      </c>
      <c r="H23" s="12" t="n">
        <v>3</v>
      </c>
      <c r="I23" s="15" t="n">
        <f aca="false">G23+H23</f>
        <v>6</v>
      </c>
      <c r="J23" s="3" t="str">
        <f aca="false">IF(H23=9,IF(G23=9,"즉시 착수",IF(G23=3,"표준화 병행","선결 과제")),IF(H23=3,IF(G23=1,"보류","2단계 확장"),IF(G23=1,"제외","여력 시 수집")))</f>
        <v>2단계 확장</v>
      </c>
    </row>
    <row r="24" customFormat="false" ht="15" hidden="false" customHeight="false" outlineLevel="0" collapsed="false">
      <c r="A24" s="3" t="n">
        <v>23</v>
      </c>
      <c r="B24" s="3" t="s">
        <v>10</v>
      </c>
      <c r="C24" s="4" t="s">
        <v>11</v>
      </c>
      <c r="D24" s="5" t="s">
        <v>12</v>
      </c>
      <c r="E24" s="4" t="s">
        <v>34</v>
      </c>
      <c r="F24" s="9" t="s">
        <v>39</v>
      </c>
      <c r="G24" s="10" t="n">
        <v>1</v>
      </c>
      <c r="H24" s="7" t="n">
        <v>9</v>
      </c>
      <c r="I24" s="11" t="n">
        <f aca="false">G24+H24</f>
        <v>10</v>
      </c>
      <c r="J24" s="3" t="str">
        <f aca="false">IF(H24=9,IF(G24=9,"즉시 착수",IF(G24=3,"표준화 병행","선결 과제")),IF(H24=3,IF(G24=1,"보류","2단계 확장"),IF(G24=1,"제외","여력 시 수집")))</f>
        <v>선결 과제</v>
      </c>
    </row>
    <row r="25" customFormat="false" ht="15" hidden="false" customHeight="false" outlineLevel="0" collapsed="false">
      <c r="A25" s="3" t="n">
        <v>24</v>
      </c>
      <c r="B25" s="3" t="s">
        <v>10</v>
      </c>
      <c r="C25" s="4" t="s">
        <v>11</v>
      </c>
      <c r="D25" s="5" t="s">
        <v>12</v>
      </c>
      <c r="E25" s="4" t="s">
        <v>34</v>
      </c>
      <c r="F25" s="9" t="s">
        <v>40</v>
      </c>
      <c r="G25" s="12" t="n">
        <v>3</v>
      </c>
      <c r="H25" s="12" t="n">
        <v>3</v>
      </c>
      <c r="I25" s="15" t="n">
        <f aca="false">G25+H25</f>
        <v>6</v>
      </c>
      <c r="J25" s="3" t="str">
        <f aca="false">IF(H25=9,IF(G25=9,"즉시 착수",IF(G25=3,"표준화 병행","선결 과제")),IF(H25=3,IF(G25=1,"보류","2단계 확장"),IF(G25=1,"제외","여력 시 수집")))</f>
        <v>2단계 확장</v>
      </c>
    </row>
    <row r="26" customFormat="false" ht="15" hidden="false" customHeight="false" outlineLevel="0" collapsed="false">
      <c r="A26" s="3" t="n">
        <v>25</v>
      </c>
      <c r="B26" s="3" t="s">
        <v>10</v>
      </c>
      <c r="C26" s="4" t="s">
        <v>11</v>
      </c>
      <c r="D26" s="5" t="s">
        <v>12</v>
      </c>
      <c r="E26" s="4" t="s">
        <v>41</v>
      </c>
      <c r="F26" s="9" t="s">
        <v>42</v>
      </c>
      <c r="G26" s="12" t="n">
        <v>3</v>
      </c>
      <c r="H26" s="12" t="n">
        <v>3</v>
      </c>
      <c r="I26" s="15" t="n">
        <f aca="false">G26+H26</f>
        <v>6</v>
      </c>
      <c r="J26" s="3" t="str">
        <f aca="false">IF(H26=9,IF(G26=9,"즉시 착수",IF(G26=3,"표준화 병행","선결 과제")),IF(H26=3,IF(G26=1,"보류","2단계 확장"),IF(G26=1,"제외","여력 시 수집")))</f>
        <v>2단계 확장</v>
      </c>
    </row>
    <row r="27" customFormat="false" ht="15" hidden="false" customHeight="false" outlineLevel="0" collapsed="false">
      <c r="A27" s="3" t="n">
        <v>26</v>
      </c>
      <c r="B27" s="3" t="s">
        <v>10</v>
      </c>
      <c r="C27" s="4" t="s">
        <v>11</v>
      </c>
      <c r="D27" s="5" t="s">
        <v>12</v>
      </c>
      <c r="E27" s="4" t="s">
        <v>41</v>
      </c>
      <c r="F27" s="9" t="s">
        <v>43</v>
      </c>
      <c r="G27" s="10" t="n">
        <v>1</v>
      </c>
      <c r="H27" s="7" t="n">
        <v>9</v>
      </c>
      <c r="I27" s="11" t="n">
        <f aca="false">G27+H27</f>
        <v>10</v>
      </c>
      <c r="J27" s="3" t="str">
        <f aca="false">IF(H27=9,IF(G27=9,"즉시 착수",IF(G27=3,"표준화 병행","선결 과제")),IF(H27=3,IF(G27=1,"보류","2단계 확장"),IF(G27=1,"제외","여력 시 수집")))</f>
        <v>선결 과제</v>
      </c>
    </row>
    <row r="28" customFormat="false" ht="15" hidden="false" customHeight="false" outlineLevel="0" collapsed="false">
      <c r="A28" s="3" t="n">
        <v>27</v>
      </c>
      <c r="B28" s="3" t="s">
        <v>10</v>
      </c>
      <c r="C28" s="4" t="s">
        <v>11</v>
      </c>
      <c r="D28" s="5" t="s">
        <v>12</v>
      </c>
      <c r="E28" s="4" t="s">
        <v>41</v>
      </c>
      <c r="F28" s="9" t="s">
        <v>44</v>
      </c>
      <c r="G28" s="10" t="n">
        <v>1</v>
      </c>
      <c r="H28" s="7" t="n">
        <v>9</v>
      </c>
      <c r="I28" s="11" t="n">
        <f aca="false">G28+H28</f>
        <v>10</v>
      </c>
      <c r="J28" s="3" t="str">
        <f aca="false">IF(H28=9,IF(G28=9,"즉시 착수",IF(G28=3,"표준화 병행","선결 과제")),IF(H28=3,IF(G28=1,"보류","2단계 확장"),IF(G28=1,"제외","여력 시 수집")))</f>
        <v>선결 과제</v>
      </c>
    </row>
    <row r="29" customFormat="false" ht="15" hidden="false" customHeight="false" outlineLevel="0" collapsed="false">
      <c r="A29" s="3" t="n">
        <v>28</v>
      </c>
      <c r="B29" s="3" t="s">
        <v>10</v>
      </c>
      <c r="C29" s="4" t="s">
        <v>11</v>
      </c>
      <c r="D29" s="5" t="s">
        <v>12</v>
      </c>
      <c r="E29" s="4" t="s">
        <v>41</v>
      </c>
      <c r="F29" s="9" t="s">
        <v>45</v>
      </c>
      <c r="G29" s="12" t="n">
        <v>3</v>
      </c>
      <c r="H29" s="12" t="n">
        <v>3</v>
      </c>
      <c r="I29" s="15" t="n">
        <f aca="false">G29+H29</f>
        <v>6</v>
      </c>
      <c r="J29" s="3" t="str">
        <f aca="false">IF(H29=9,IF(G29=9,"즉시 착수",IF(G29=3,"표준화 병행","선결 과제")),IF(H29=3,IF(G29=1,"보류","2단계 확장"),IF(G29=1,"제외","여력 시 수집")))</f>
        <v>2단계 확장</v>
      </c>
    </row>
    <row r="30" customFormat="false" ht="15" hidden="false" customHeight="false" outlineLevel="0" collapsed="false">
      <c r="A30" s="3" t="n">
        <v>29</v>
      </c>
      <c r="B30" s="3" t="s">
        <v>10</v>
      </c>
      <c r="C30" s="4" t="s">
        <v>11</v>
      </c>
      <c r="D30" s="5" t="s">
        <v>12</v>
      </c>
      <c r="E30" s="4" t="s">
        <v>41</v>
      </c>
      <c r="F30" s="9" t="s">
        <v>46</v>
      </c>
      <c r="G30" s="10" t="n">
        <v>1</v>
      </c>
      <c r="H30" s="7" t="n">
        <v>9</v>
      </c>
      <c r="I30" s="11" t="n">
        <f aca="false">G30+H30</f>
        <v>10</v>
      </c>
      <c r="J30" s="3" t="str">
        <f aca="false">IF(H30=9,IF(G30=9,"즉시 착수",IF(G30=3,"표준화 병행","선결 과제")),IF(H30=3,IF(G30=1,"보류","2단계 확장"),IF(G30=1,"제외","여력 시 수집")))</f>
        <v>선결 과제</v>
      </c>
    </row>
    <row r="31" customFormat="false" ht="15" hidden="false" customHeight="false" outlineLevel="0" collapsed="false">
      <c r="A31" s="3" t="n">
        <v>30</v>
      </c>
      <c r="B31" s="3" t="s">
        <v>10</v>
      </c>
      <c r="C31" s="4" t="s">
        <v>11</v>
      </c>
      <c r="D31" s="5" t="s">
        <v>12</v>
      </c>
      <c r="E31" s="4" t="s">
        <v>41</v>
      </c>
      <c r="F31" s="9" t="s">
        <v>47</v>
      </c>
      <c r="G31" s="10" t="n">
        <v>1</v>
      </c>
      <c r="H31" s="7" t="n">
        <v>9</v>
      </c>
      <c r="I31" s="11" t="n">
        <f aca="false">G31+H31</f>
        <v>10</v>
      </c>
      <c r="J31" s="3" t="str">
        <f aca="false">IF(H31=9,IF(G31=9,"즉시 착수",IF(G31=3,"표준화 병행","선결 과제")),IF(H31=3,IF(G31=1,"보류","2단계 확장"),IF(G31=1,"제외","여력 시 수집")))</f>
        <v>선결 과제</v>
      </c>
    </row>
    <row r="32" customFormat="false" ht="15" hidden="false" customHeight="false" outlineLevel="0" collapsed="false">
      <c r="A32" s="3" t="n">
        <v>31</v>
      </c>
      <c r="B32" s="3" t="s">
        <v>10</v>
      </c>
      <c r="C32" s="4" t="s">
        <v>11</v>
      </c>
      <c r="D32" s="5" t="s">
        <v>12</v>
      </c>
      <c r="E32" s="4" t="s">
        <v>48</v>
      </c>
      <c r="F32" s="9" t="s">
        <v>49</v>
      </c>
      <c r="G32" s="12" t="n">
        <v>3</v>
      </c>
      <c r="H32" s="12" t="n">
        <v>3</v>
      </c>
      <c r="I32" s="15" t="n">
        <f aca="false">G32+H32</f>
        <v>6</v>
      </c>
      <c r="J32" s="3" t="str">
        <f aca="false">IF(H32=9,IF(G32=9,"즉시 착수",IF(G32=3,"표준화 병행","선결 과제")),IF(H32=3,IF(G32=1,"보류","2단계 확장"),IF(G32=1,"제외","여력 시 수집")))</f>
        <v>2단계 확장</v>
      </c>
    </row>
    <row r="33" customFormat="false" ht="15" hidden="false" customHeight="false" outlineLevel="0" collapsed="false">
      <c r="A33" s="3" t="n">
        <v>32</v>
      </c>
      <c r="B33" s="3" t="s">
        <v>10</v>
      </c>
      <c r="C33" s="4" t="s">
        <v>11</v>
      </c>
      <c r="D33" s="5" t="s">
        <v>12</v>
      </c>
      <c r="E33" s="4" t="s">
        <v>48</v>
      </c>
      <c r="F33" s="6" t="s">
        <v>50</v>
      </c>
      <c r="G33" s="12" t="n">
        <v>3</v>
      </c>
      <c r="H33" s="12" t="n">
        <v>3</v>
      </c>
      <c r="I33" s="15" t="n">
        <f aca="false">G33+H33</f>
        <v>6</v>
      </c>
      <c r="J33" s="3" t="str">
        <f aca="false">IF(H33=9,IF(G33=9,"즉시 착수",IF(G33=3,"표준화 병행","선결 과제")),IF(H33=3,IF(G33=1,"보류","2단계 확장"),IF(G33=1,"제외","여력 시 수집")))</f>
        <v>2단계 확장</v>
      </c>
    </row>
    <row r="34" customFormat="false" ht="15" hidden="false" customHeight="false" outlineLevel="0" collapsed="false">
      <c r="A34" s="3" t="n">
        <v>33</v>
      </c>
      <c r="B34" s="3" t="s">
        <v>10</v>
      </c>
      <c r="C34" s="4" t="s">
        <v>11</v>
      </c>
      <c r="D34" s="5" t="s">
        <v>12</v>
      </c>
      <c r="E34" s="4" t="s">
        <v>48</v>
      </c>
      <c r="F34" s="9" t="s">
        <v>51</v>
      </c>
      <c r="G34" s="10" t="n">
        <v>1</v>
      </c>
      <c r="H34" s="10" t="n">
        <v>1</v>
      </c>
      <c r="I34" s="16" t="n">
        <f aca="false">G34+H34</f>
        <v>2</v>
      </c>
      <c r="J34" s="3" t="str">
        <f aca="false">IF(H34=9,IF(G34=9,"즉시 착수",IF(G34=3,"표준화 병행","선결 과제")),IF(H34=3,IF(G34=1,"보류","2단계 확장"),IF(G34=1,"제외","여력 시 수집")))</f>
        <v>제외</v>
      </c>
    </row>
    <row r="35" customFormat="false" ht="15" hidden="false" customHeight="false" outlineLevel="0" collapsed="false">
      <c r="A35" s="3" t="n">
        <v>34</v>
      </c>
      <c r="B35" s="3" t="s">
        <v>10</v>
      </c>
      <c r="C35" s="4" t="s">
        <v>11</v>
      </c>
      <c r="D35" s="5" t="s">
        <v>12</v>
      </c>
      <c r="E35" s="4" t="s">
        <v>48</v>
      </c>
      <c r="F35" s="9" t="s">
        <v>52</v>
      </c>
      <c r="G35" s="12" t="n">
        <v>3</v>
      </c>
      <c r="H35" s="12" t="n">
        <v>3</v>
      </c>
      <c r="I35" s="15" t="n">
        <f aca="false">G35+H35</f>
        <v>6</v>
      </c>
      <c r="J35" s="3" t="str">
        <f aca="false">IF(H35=9,IF(G35=9,"즉시 착수",IF(G35=3,"표준화 병행","선결 과제")),IF(H35=3,IF(G35=1,"보류","2단계 확장"),IF(G35=1,"제외","여력 시 수집")))</f>
        <v>2단계 확장</v>
      </c>
    </row>
    <row r="36" customFormat="false" ht="15" hidden="false" customHeight="false" outlineLevel="0" collapsed="false">
      <c r="A36" s="3" t="n">
        <v>35</v>
      </c>
      <c r="B36" s="3" t="s">
        <v>10</v>
      </c>
      <c r="C36" s="4" t="s">
        <v>11</v>
      </c>
      <c r="D36" s="5" t="s">
        <v>12</v>
      </c>
      <c r="E36" s="4" t="s">
        <v>48</v>
      </c>
      <c r="F36" s="9" t="s">
        <v>53</v>
      </c>
      <c r="G36" s="10" t="n">
        <v>1</v>
      </c>
      <c r="H36" s="12" t="n">
        <v>3</v>
      </c>
      <c r="I36" s="14" t="n">
        <f aca="false">G36+H36</f>
        <v>4</v>
      </c>
      <c r="J36" s="3" t="str">
        <f aca="false">IF(H36=9,IF(G36=9,"즉시 착수",IF(G36=3,"표준화 병행","선결 과제")),IF(H36=3,IF(G36=1,"보류","2단계 확장"),IF(G36=1,"제외","여력 시 수집")))</f>
        <v>보류</v>
      </c>
    </row>
    <row r="37" customFormat="false" ht="15" hidden="false" customHeight="false" outlineLevel="0" collapsed="false">
      <c r="A37" s="3" t="n">
        <v>36</v>
      </c>
      <c r="B37" s="3" t="s">
        <v>10</v>
      </c>
      <c r="C37" s="4" t="s">
        <v>11</v>
      </c>
      <c r="D37" s="5" t="s">
        <v>12</v>
      </c>
      <c r="E37" s="4" t="s">
        <v>48</v>
      </c>
      <c r="F37" s="9" t="s">
        <v>54</v>
      </c>
      <c r="G37" s="12" t="n">
        <v>3</v>
      </c>
      <c r="H37" s="12" t="n">
        <v>3</v>
      </c>
      <c r="I37" s="15" t="n">
        <f aca="false">G37+H37</f>
        <v>6</v>
      </c>
      <c r="J37" s="3" t="str">
        <f aca="false">IF(H37=9,IF(G37=9,"즉시 착수",IF(G37=3,"표준화 병행","선결 과제")),IF(H37=3,IF(G37=1,"보류","2단계 확장"),IF(G37=1,"제외","여력 시 수집")))</f>
        <v>2단계 확장</v>
      </c>
    </row>
    <row r="38" customFormat="false" ht="15" hidden="false" customHeight="false" outlineLevel="0" collapsed="false">
      <c r="A38" s="3" t="n">
        <v>37</v>
      </c>
      <c r="B38" s="3" t="s">
        <v>10</v>
      </c>
      <c r="C38" s="4" t="s">
        <v>11</v>
      </c>
      <c r="D38" s="5" t="s">
        <v>12</v>
      </c>
      <c r="E38" s="4" t="s">
        <v>55</v>
      </c>
      <c r="F38" s="9" t="s">
        <v>56</v>
      </c>
      <c r="G38" s="12" t="n">
        <v>3</v>
      </c>
      <c r="H38" s="12" t="n">
        <v>3</v>
      </c>
      <c r="I38" s="15" t="n">
        <f aca="false">G38+H38</f>
        <v>6</v>
      </c>
      <c r="J38" s="3" t="str">
        <f aca="false">IF(H38=9,IF(G38=9,"즉시 착수",IF(G38=3,"표준화 병행","선결 과제")),IF(H38=3,IF(G38=1,"보류","2단계 확장"),IF(G38=1,"제외","여력 시 수집")))</f>
        <v>2단계 확장</v>
      </c>
    </row>
    <row r="39" customFormat="false" ht="15" hidden="false" customHeight="false" outlineLevel="0" collapsed="false">
      <c r="A39" s="3" t="n">
        <v>38</v>
      </c>
      <c r="B39" s="3" t="s">
        <v>10</v>
      </c>
      <c r="C39" s="4" t="s">
        <v>11</v>
      </c>
      <c r="D39" s="5" t="s">
        <v>12</v>
      </c>
      <c r="E39" s="4" t="s">
        <v>55</v>
      </c>
      <c r="F39" s="9" t="s">
        <v>57</v>
      </c>
      <c r="G39" s="12" t="n">
        <v>3</v>
      </c>
      <c r="H39" s="12" t="n">
        <v>3</v>
      </c>
      <c r="I39" s="15" t="n">
        <f aca="false">G39+H39</f>
        <v>6</v>
      </c>
      <c r="J39" s="3" t="str">
        <f aca="false">IF(H39=9,IF(G39=9,"즉시 착수",IF(G39=3,"표준화 병행","선결 과제")),IF(H39=3,IF(G39=1,"보류","2단계 확장"),IF(G39=1,"제외","여력 시 수집")))</f>
        <v>2단계 확장</v>
      </c>
    </row>
    <row r="40" customFormat="false" ht="15" hidden="false" customHeight="false" outlineLevel="0" collapsed="false">
      <c r="A40" s="3" t="n">
        <v>39</v>
      </c>
      <c r="B40" s="3" t="s">
        <v>10</v>
      </c>
      <c r="C40" s="4" t="s">
        <v>11</v>
      </c>
      <c r="D40" s="5" t="s">
        <v>12</v>
      </c>
      <c r="E40" s="4" t="s">
        <v>55</v>
      </c>
      <c r="F40" s="9" t="s">
        <v>58</v>
      </c>
      <c r="G40" s="12" t="n">
        <v>3</v>
      </c>
      <c r="H40" s="12" t="n">
        <v>3</v>
      </c>
      <c r="I40" s="15" t="n">
        <f aca="false">G40+H40</f>
        <v>6</v>
      </c>
      <c r="J40" s="3" t="str">
        <f aca="false">IF(H40=9,IF(G40=9,"즉시 착수",IF(G40=3,"표준화 병행","선결 과제")),IF(H40=3,IF(G40=1,"보류","2단계 확장"),IF(G40=1,"제외","여력 시 수집")))</f>
        <v>2단계 확장</v>
      </c>
    </row>
    <row r="41" customFormat="false" ht="15" hidden="false" customHeight="false" outlineLevel="0" collapsed="false">
      <c r="A41" s="3" t="n">
        <v>40</v>
      </c>
      <c r="B41" s="3" t="s">
        <v>10</v>
      </c>
      <c r="C41" s="4" t="s">
        <v>11</v>
      </c>
      <c r="D41" s="5" t="s">
        <v>12</v>
      </c>
      <c r="E41" s="4" t="s">
        <v>55</v>
      </c>
      <c r="F41" s="9" t="s">
        <v>59</v>
      </c>
      <c r="G41" s="12" t="n">
        <v>3</v>
      </c>
      <c r="H41" s="12" t="n">
        <v>3</v>
      </c>
      <c r="I41" s="15" t="n">
        <f aca="false">G41+H41</f>
        <v>6</v>
      </c>
      <c r="J41" s="3" t="str">
        <f aca="false">IF(H41=9,IF(G41=9,"즉시 착수",IF(G41=3,"표준화 병행","선결 과제")),IF(H41=3,IF(G41=1,"보류","2단계 확장"),IF(G41=1,"제외","여력 시 수집")))</f>
        <v>2단계 확장</v>
      </c>
    </row>
    <row r="42" customFormat="false" ht="15" hidden="false" customHeight="false" outlineLevel="0" collapsed="false">
      <c r="A42" s="3" t="n">
        <v>41</v>
      </c>
      <c r="B42" s="3" t="s">
        <v>10</v>
      </c>
      <c r="C42" s="4" t="s">
        <v>11</v>
      </c>
      <c r="D42" s="5" t="s">
        <v>12</v>
      </c>
      <c r="E42" s="4" t="s">
        <v>55</v>
      </c>
      <c r="F42" s="9" t="s">
        <v>60</v>
      </c>
      <c r="G42" s="12" t="n">
        <v>3</v>
      </c>
      <c r="H42" s="12" t="n">
        <v>3</v>
      </c>
      <c r="I42" s="15" t="n">
        <f aca="false">G42+H42</f>
        <v>6</v>
      </c>
      <c r="J42" s="3" t="str">
        <f aca="false">IF(H42=9,IF(G42=9,"즉시 착수",IF(G42=3,"표준화 병행","선결 과제")),IF(H42=3,IF(G42=1,"보류","2단계 확장"),IF(G42=1,"제외","여력 시 수집")))</f>
        <v>2단계 확장</v>
      </c>
    </row>
    <row r="43" customFormat="false" ht="15" hidden="false" customHeight="false" outlineLevel="0" collapsed="false">
      <c r="A43" s="3" t="n">
        <v>42</v>
      </c>
      <c r="B43" s="3" t="s">
        <v>10</v>
      </c>
      <c r="C43" s="4" t="s">
        <v>11</v>
      </c>
      <c r="D43" s="5" t="s">
        <v>12</v>
      </c>
      <c r="E43" s="4" t="s">
        <v>55</v>
      </c>
      <c r="F43" s="9" t="s">
        <v>61</v>
      </c>
      <c r="G43" s="12" t="n">
        <v>3</v>
      </c>
      <c r="H43" s="12" t="n">
        <v>3</v>
      </c>
      <c r="I43" s="15" t="n">
        <f aca="false">G43+H43</f>
        <v>6</v>
      </c>
      <c r="J43" s="3" t="str">
        <f aca="false">IF(H43=9,IF(G43=9,"즉시 착수",IF(G43=3,"표준화 병행","선결 과제")),IF(H43=3,IF(G43=1,"보류","2단계 확장"),IF(G43=1,"제외","여력 시 수집")))</f>
        <v>2단계 확장</v>
      </c>
    </row>
    <row r="44" customFormat="false" ht="15" hidden="false" customHeight="false" outlineLevel="0" collapsed="false">
      <c r="A44" s="3" t="n">
        <v>43</v>
      </c>
      <c r="B44" s="3" t="s">
        <v>10</v>
      </c>
      <c r="C44" s="4" t="s">
        <v>11</v>
      </c>
      <c r="D44" s="5" t="s">
        <v>12</v>
      </c>
      <c r="E44" s="4" t="s">
        <v>62</v>
      </c>
      <c r="F44" s="6" t="s">
        <v>63</v>
      </c>
      <c r="G44" s="7" t="n">
        <v>9</v>
      </c>
      <c r="H44" s="12" t="n">
        <v>3</v>
      </c>
      <c r="I44" s="13" t="n">
        <f aca="false">G44+H44</f>
        <v>12</v>
      </c>
      <c r="J44" s="3" t="str">
        <f aca="false">IF(H44=9,IF(G44=9,"즉시 착수",IF(G44=3,"표준화 병행","선결 과제")),IF(H44=3,IF(G44=1,"보류","2단계 확장"),IF(G44=1,"제외","여력 시 수집")))</f>
        <v>2단계 확장</v>
      </c>
    </row>
    <row r="45" customFormat="false" ht="15" hidden="false" customHeight="false" outlineLevel="0" collapsed="false">
      <c r="A45" s="3" t="n">
        <v>44</v>
      </c>
      <c r="B45" s="3" t="s">
        <v>10</v>
      </c>
      <c r="C45" s="4" t="s">
        <v>11</v>
      </c>
      <c r="D45" s="5" t="s">
        <v>12</v>
      </c>
      <c r="E45" s="4" t="s">
        <v>62</v>
      </c>
      <c r="F45" s="6" t="s">
        <v>64</v>
      </c>
      <c r="G45" s="7" t="n">
        <v>9</v>
      </c>
      <c r="H45" s="12" t="n">
        <v>3</v>
      </c>
      <c r="I45" s="13" t="n">
        <f aca="false">G45+H45</f>
        <v>12</v>
      </c>
      <c r="J45" s="3" t="str">
        <f aca="false">IF(H45=9,IF(G45=9,"즉시 착수",IF(G45=3,"표준화 병행","선결 과제")),IF(H45=3,IF(G45=1,"보류","2단계 확장"),IF(G45=1,"제외","여력 시 수집")))</f>
        <v>2단계 확장</v>
      </c>
    </row>
    <row r="46" customFormat="false" ht="15" hidden="false" customHeight="false" outlineLevel="0" collapsed="false">
      <c r="A46" s="3" t="n">
        <v>45</v>
      </c>
      <c r="B46" s="3" t="s">
        <v>10</v>
      </c>
      <c r="C46" s="4" t="s">
        <v>11</v>
      </c>
      <c r="D46" s="5" t="s">
        <v>12</v>
      </c>
      <c r="E46" s="4" t="s">
        <v>62</v>
      </c>
      <c r="F46" s="6" t="s">
        <v>65</v>
      </c>
      <c r="G46" s="7" t="n">
        <v>9</v>
      </c>
      <c r="H46" s="12" t="n">
        <v>3</v>
      </c>
      <c r="I46" s="13" t="n">
        <f aca="false">G46+H46</f>
        <v>12</v>
      </c>
      <c r="J46" s="3" t="str">
        <f aca="false">IF(H46=9,IF(G46=9,"즉시 착수",IF(G46=3,"표준화 병행","선결 과제")),IF(H46=3,IF(G46=1,"보류","2단계 확장"),IF(G46=1,"제외","여력 시 수집")))</f>
        <v>2단계 확장</v>
      </c>
    </row>
    <row r="47" customFormat="false" ht="15" hidden="false" customHeight="false" outlineLevel="0" collapsed="false">
      <c r="A47" s="3" t="n">
        <v>46</v>
      </c>
      <c r="B47" s="3" t="s">
        <v>10</v>
      </c>
      <c r="C47" s="4" t="s">
        <v>11</v>
      </c>
      <c r="D47" s="5" t="s">
        <v>12</v>
      </c>
      <c r="E47" s="4" t="s">
        <v>62</v>
      </c>
      <c r="F47" s="9" t="s">
        <v>66</v>
      </c>
      <c r="G47" s="12" t="n">
        <v>3</v>
      </c>
      <c r="H47" s="7" t="n">
        <v>9</v>
      </c>
      <c r="I47" s="13" t="n">
        <f aca="false">G47+H47</f>
        <v>12</v>
      </c>
      <c r="J47" s="3" t="str">
        <f aca="false">IF(H47=9,IF(G47=9,"즉시 착수",IF(G47=3,"표준화 병행","선결 과제")),IF(H47=3,IF(G47=1,"보류","2단계 확장"),IF(G47=1,"제외","여력 시 수집")))</f>
        <v>표준화 병행</v>
      </c>
    </row>
    <row r="48" customFormat="false" ht="15" hidden="false" customHeight="false" outlineLevel="0" collapsed="false">
      <c r="A48" s="3" t="n">
        <v>47</v>
      </c>
      <c r="B48" s="3" t="s">
        <v>10</v>
      </c>
      <c r="C48" s="4" t="s">
        <v>11</v>
      </c>
      <c r="D48" s="5" t="s">
        <v>12</v>
      </c>
      <c r="E48" s="4" t="s">
        <v>62</v>
      </c>
      <c r="F48" s="9" t="s">
        <v>67</v>
      </c>
      <c r="G48" s="7" t="n">
        <v>9</v>
      </c>
      <c r="H48" s="12" t="n">
        <v>3</v>
      </c>
      <c r="I48" s="13" t="n">
        <f aca="false">G48+H48</f>
        <v>12</v>
      </c>
      <c r="J48" s="3" t="str">
        <f aca="false">IF(H48=9,IF(G48=9,"즉시 착수",IF(G48=3,"표준화 병행","선결 과제")),IF(H48=3,IF(G48=1,"보류","2단계 확장"),IF(G48=1,"제외","여력 시 수집")))</f>
        <v>2단계 확장</v>
      </c>
    </row>
    <row r="49" customFormat="false" ht="15" hidden="false" customHeight="false" outlineLevel="0" collapsed="false">
      <c r="A49" s="3" t="n">
        <v>48</v>
      </c>
      <c r="B49" s="3" t="s">
        <v>10</v>
      </c>
      <c r="C49" s="4" t="s">
        <v>11</v>
      </c>
      <c r="D49" s="5" t="s">
        <v>12</v>
      </c>
      <c r="E49" s="4" t="s">
        <v>62</v>
      </c>
      <c r="F49" s="9" t="s">
        <v>68</v>
      </c>
      <c r="G49" s="12" t="n">
        <v>3</v>
      </c>
      <c r="H49" s="7" t="n">
        <v>9</v>
      </c>
      <c r="I49" s="13" t="n">
        <f aca="false">G49+H49</f>
        <v>12</v>
      </c>
      <c r="J49" s="3" t="str">
        <f aca="false">IF(H49=9,IF(G49=9,"즉시 착수",IF(G49=3,"표준화 병행","선결 과제")),IF(H49=3,IF(G49=1,"보류","2단계 확장"),IF(G49=1,"제외","여력 시 수집")))</f>
        <v>표준화 병행</v>
      </c>
    </row>
    <row r="50" customFormat="false" ht="15" hidden="false" customHeight="false" outlineLevel="0" collapsed="false">
      <c r="A50" s="3" t="n">
        <v>49</v>
      </c>
      <c r="B50" s="3" t="s">
        <v>69</v>
      </c>
      <c r="C50" s="4" t="s">
        <v>70</v>
      </c>
      <c r="D50" s="5" t="s">
        <v>12</v>
      </c>
      <c r="E50" s="4" t="s">
        <v>71</v>
      </c>
      <c r="F50" s="6" t="s">
        <v>72</v>
      </c>
      <c r="G50" s="7" t="n">
        <v>9</v>
      </c>
      <c r="H50" s="7" t="n">
        <v>9</v>
      </c>
      <c r="I50" s="8" t="n">
        <f aca="false">G50+H50</f>
        <v>18</v>
      </c>
      <c r="J50" s="3" t="str">
        <f aca="false">IF(H50=9,IF(G50=9,"즉시 착수",IF(G50=3,"표준화 병행","선결 과제")),IF(H50=3,IF(G50=1,"보류","2단계 확장"),IF(G50=1,"제외","여력 시 수집")))</f>
        <v>즉시 착수</v>
      </c>
    </row>
    <row r="51" customFormat="false" ht="15" hidden="false" customHeight="false" outlineLevel="0" collapsed="false">
      <c r="A51" s="3" t="n">
        <v>50</v>
      </c>
      <c r="B51" s="3" t="s">
        <v>69</v>
      </c>
      <c r="C51" s="4" t="s">
        <v>70</v>
      </c>
      <c r="D51" s="5" t="s">
        <v>12</v>
      </c>
      <c r="E51" s="4" t="s">
        <v>71</v>
      </c>
      <c r="F51" s="6" t="s">
        <v>73</v>
      </c>
      <c r="G51" s="7" t="n">
        <v>9</v>
      </c>
      <c r="H51" s="7" t="n">
        <v>9</v>
      </c>
      <c r="I51" s="8" t="n">
        <f aca="false">G51+H51</f>
        <v>18</v>
      </c>
      <c r="J51" s="3" t="str">
        <f aca="false">IF(H51=9,IF(G51=9,"즉시 착수",IF(G51=3,"표준화 병행","선결 과제")),IF(H51=3,IF(G51=1,"보류","2단계 확장"),IF(G51=1,"제외","여력 시 수집")))</f>
        <v>즉시 착수</v>
      </c>
    </row>
    <row r="52" customFormat="false" ht="15" hidden="false" customHeight="false" outlineLevel="0" collapsed="false">
      <c r="A52" s="3" t="n">
        <v>51</v>
      </c>
      <c r="B52" s="3" t="s">
        <v>69</v>
      </c>
      <c r="C52" s="4" t="s">
        <v>70</v>
      </c>
      <c r="D52" s="5" t="s">
        <v>12</v>
      </c>
      <c r="E52" s="4" t="s">
        <v>71</v>
      </c>
      <c r="F52" s="6" t="s">
        <v>74</v>
      </c>
      <c r="G52" s="7" t="n">
        <v>9</v>
      </c>
      <c r="H52" s="7" t="n">
        <v>9</v>
      </c>
      <c r="I52" s="8" t="n">
        <f aca="false">G52+H52</f>
        <v>18</v>
      </c>
      <c r="J52" s="3" t="str">
        <f aca="false">IF(H52=9,IF(G52=9,"즉시 착수",IF(G52=3,"표준화 병행","선결 과제")),IF(H52=3,IF(G52=1,"보류","2단계 확장"),IF(G52=1,"제외","여력 시 수집")))</f>
        <v>즉시 착수</v>
      </c>
    </row>
    <row r="53" customFormat="false" ht="15" hidden="false" customHeight="false" outlineLevel="0" collapsed="false">
      <c r="A53" s="3" t="n">
        <v>52</v>
      </c>
      <c r="B53" s="3" t="s">
        <v>69</v>
      </c>
      <c r="C53" s="4" t="s">
        <v>70</v>
      </c>
      <c r="D53" s="5" t="s">
        <v>12</v>
      </c>
      <c r="E53" s="4" t="s">
        <v>71</v>
      </c>
      <c r="F53" s="9" t="s">
        <v>75</v>
      </c>
      <c r="G53" s="7" t="n">
        <v>9</v>
      </c>
      <c r="H53" s="7" t="n">
        <v>9</v>
      </c>
      <c r="I53" s="8" t="n">
        <f aca="false">G53+H53</f>
        <v>18</v>
      </c>
      <c r="J53" s="3" t="str">
        <f aca="false">IF(H53=9,IF(G53=9,"즉시 착수",IF(G53=3,"표준화 병행","선결 과제")),IF(H53=3,IF(G53=1,"보류","2단계 확장"),IF(G53=1,"제외","여력 시 수집")))</f>
        <v>즉시 착수</v>
      </c>
    </row>
    <row r="54" customFormat="false" ht="15" hidden="false" customHeight="false" outlineLevel="0" collapsed="false">
      <c r="A54" s="3" t="n">
        <v>53</v>
      </c>
      <c r="B54" s="3" t="s">
        <v>69</v>
      </c>
      <c r="C54" s="4" t="s">
        <v>70</v>
      </c>
      <c r="D54" s="5" t="s">
        <v>12</v>
      </c>
      <c r="E54" s="4" t="s">
        <v>71</v>
      </c>
      <c r="F54" s="9" t="s">
        <v>76</v>
      </c>
      <c r="G54" s="12" t="n">
        <v>3</v>
      </c>
      <c r="H54" s="10" t="n">
        <v>1</v>
      </c>
      <c r="I54" s="14" t="n">
        <f aca="false">G54+H54</f>
        <v>4</v>
      </c>
      <c r="J54" s="3" t="str">
        <f aca="false">IF(H54=9,IF(G54=9,"즉시 착수",IF(G54=3,"표준화 병행","선결 과제")),IF(H54=3,IF(G54=1,"보류","2단계 확장"),IF(G54=1,"제외","여력 시 수집")))</f>
        <v>여력 시 수집</v>
      </c>
    </row>
    <row r="55" customFormat="false" ht="15" hidden="false" customHeight="false" outlineLevel="0" collapsed="false">
      <c r="A55" s="3" t="n">
        <v>54</v>
      </c>
      <c r="B55" s="3" t="s">
        <v>69</v>
      </c>
      <c r="C55" s="4" t="s">
        <v>70</v>
      </c>
      <c r="D55" s="5" t="s">
        <v>12</v>
      </c>
      <c r="E55" s="4" t="s">
        <v>71</v>
      </c>
      <c r="F55" s="9" t="s">
        <v>77</v>
      </c>
      <c r="G55" s="10" t="n">
        <v>1</v>
      </c>
      <c r="H55" s="12" t="n">
        <v>3</v>
      </c>
      <c r="I55" s="14" t="n">
        <f aca="false">G55+H55</f>
        <v>4</v>
      </c>
      <c r="J55" s="3" t="str">
        <f aca="false">IF(H55=9,IF(G55=9,"즉시 착수",IF(G55=3,"표준화 병행","선결 과제")),IF(H55=3,IF(G55=1,"보류","2단계 확장"),IF(G55=1,"제외","여력 시 수집")))</f>
        <v>보류</v>
      </c>
    </row>
    <row r="56" customFormat="false" ht="15" hidden="false" customHeight="false" outlineLevel="0" collapsed="false">
      <c r="A56" s="3" t="n">
        <v>55</v>
      </c>
      <c r="B56" s="3" t="s">
        <v>69</v>
      </c>
      <c r="C56" s="4" t="s">
        <v>70</v>
      </c>
      <c r="D56" s="5" t="s">
        <v>12</v>
      </c>
      <c r="E56" s="4" t="s">
        <v>78</v>
      </c>
      <c r="F56" s="6" t="s">
        <v>79</v>
      </c>
      <c r="G56" s="7" t="n">
        <v>9</v>
      </c>
      <c r="H56" s="7" t="n">
        <v>9</v>
      </c>
      <c r="I56" s="8" t="n">
        <f aca="false">G56+H56</f>
        <v>18</v>
      </c>
      <c r="J56" s="3" t="str">
        <f aca="false">IF(H56=9,IF(G56=9,"즉시 착수",IF(G56=3,"표준화 병행","선결 과제")),IF(H56=3,IF(G56=1,"보류","2단계 확장"),IF(G56=1,"제외","여력 시 수집")))</f>
        <v>즉시 착수</v>
      </c>
    </row>
    <row r="57" customFormat="false" ht="15" hidden="false" customHeight="false" outlineLevel="0" collapsed="false">
      <c r="A57" s="3" t="n">
        <v>56</v>
      </c>
      <c r="B57" s="3" t="s">
        <v>69</v>
      </c>
      <c r="C57" s="4" t="s">
        <v>70</v>
      </c>
      <c r="D57" s="5" t="s">
        <v>12</v>
      </c>
      <c r="E57" s="4" t="s">
        <v>78</v>
      </c>
      <c r="F57" s="6" t="s">
        <v>80</v>
      </c>
      <c r="G57" s="7" t="n">
        <v>9</v>
      </c>
      <c r="H57" s="7" t="n">
        <v>9</v>
      </c>
      <c r="I57" s="8" t="n">
        <f aca="false">G57+H57</f>
        <v>18</v>
      </c>
      <c r="J57" s="3" t="str">
        <f aca="false">IF(H57=9,IF(G57=9,"즉시 착수",IF(G57=3,"표준화 병행","선결 과제")),IF(H57=3,IF(G57=1,"보류","2단계 확장"),IF(G57=1,"제외","여력 시 수집")))</f>
        <v>즉시 착수</v>
      </c>
    </row>
    <row r="58" customFormat="false" ht="15" hidden="false" customHeight="false" outlineLevel="0" collapsed="false">
      <c r="A58" s="3" t="n">
        <v>57</v>
      </c>
      <c r="B58" s="3" t="s">
        <v>69</v>
      </c>
      <c r="C58" s="4" t="s">
        <v>70</v>
      </c>
      <c r="D58" s="5" t="s">
        <v>12</v>
      </c>
      <c r="E58" s="4" t="s">
        <v>78</v>
      </c>
      <c r="F58" s="9" t="s">
        <v>81</v>
      </c>
      <c r="G58" s="7" t="n">
        <v>9</v>
      </c>
      <c r="H58" s="7" t="n">
        <v>9</v>
      </c>
      <c r="I58" s="8" t="n">
        <f aca="false">G58+H58</f>
        <v>18</v>
      </c>
      <c r="J58" s="3" t="str">
        <f aca="false">IF(H58=9,IF(G58=9,"즉시 착수",IF(G58=3,"표준화 병행","선결 과제")),IF(H58=3,IF(G58=1,"보류","2단계 확장"),IF(G58=1,"제외","여력 시 수집")))</f>
        <v>즉시 착수</v>
      </c>
    </row>
    <row r="59" customFormat="false" ht="15" hidden="false" customHeight="false" outlineLevel="0" collapsed="false">
      <c r="A59" s="3" t="n">
        <v>58</v>
      </c>
      <c r="B59" s="3" t="s">
        <v>69</v>
      </c>
      <c r="C59" s="4" t="s">
        <v>70</v>
      </c>
      <c r="D59" s="5" t="s">
        <v>12</v>
      </c>
      <c r="E59" s="4" t="s">
        <v>78</v>
      </c>
      <c r="F59" s="9" t="s">
        <v>82</v>
      </c>
      <c r="G59" s="7" t="n">
        <v>9</v>
      </c>
      <c r="H59" s="7" t="n">
        <v>9</v>
      </c>
      <c r="I59" s="8" t="n">
        <f aca="false">G59+H59</f>
        <v>18</v>
      </c>
      <c r="J59" s="3" t="str">
        <f aca="false">IF(H59=9,IF(G59=9,"즉시 착수",IF(G59=3,"표준화 병행","선결 과제")),IF(H59=3,IF(G59=1,"보류","2단계 확장"),IF(G59=1,"제외","여력 시 수집")))</f>
        <v>즉시 착수</v>
      </c>
    </row>
    <row r="60" customFormat="false" ht="15" hidden="false" customHeight="false" outlineLevel="0" collapsed="false">
      <c r="A60" s="3" t="n">
        <v>59</v>
      </c>
      <c r="B60" s="3" t="s">
        <v>69</v>
      </c>
      <c r="C60" s="4" t="s">
        <v>70</v>
      </c>
      <c r="D60" s="5" t="s">
        <v>12</v>
      </c>
      <c r="E60" s="4" t="s">
        <v>78</v>
      </c>
      <c r="F60" s="9" t="s">
        <v>83</v>
      </c>
      <c r="G60" s="7" t="n">
        <v>9</v>
      </c>
      <c r="H60" s="7" t="n">
        <v>9</v>
      </c>
      <c r="I60" s="8" t="n">
        <f aca="false">G60+H60</f>
        <v>18</v>
      </c>
      <c r="J60" s="3" t="str">
        <f aca="false">IF(H60=9,IF(G60=9,"즉시 착수",IF(G60=3,"표준화 병행","선결 과제")),IF(H60=3,IF(G60=1,"보류","2단계 확장"),IF(G60=1,"제외","여력 시 수집")))</f>
        <v>즉시 착수</v>
      </c>
    </row>
    <row r="61" customFormat="false" ht="15" hidden="false" customHeight="false" outlineLevel="0" collapsed="false">
      <c r="A61" s="3" t="n">
        <v>60</v>
      </c>
      <c r="B61" s="3" t="s">
        <v>69</v>
      </c>
      <c r="C61" s="4" t="s">
        <v>70</v>
      </c>
      <c r="D61" s="5" t="s">
        <v>12</v>
      </c>
      <c r="E61" s="4" t="s">
        <v>78</v>
      </c>
      <c r="F61" s="9" t="s">
        <v>84</v>
      </c>
      <c r="G61" s="7" t="n">
        <v>9</v>
      </c>
      <c r="H61" s="7" t="n">
        <v>9</v>
      </c>
      <c r="I61" s="8" t="n">
        <f aca="false">G61+H61</f>
        <v>18</v>
      </c>
      <c r="J61" s="3" t="str">
        <f aca="false">IF(H61=9,IF(G61=9,"즉시 착수",IF(G61=3,"표준화 병행","선결 과제")),IF(H61=3,IF(G61=1,"보류","2단계 확장"),IF(G61=1,"제외","여력 시 수집")))</f>
        <v>즉시 착수</v>
      </c>
    </row>
    <row r="62" customFormat="false" ht="15" hidden="false" customHeight="false" outlineLevel="0" collapsed="false">
      <c r="A62" s="3" t="n">
        <v>61</v>
      </c>
      <c r="B62" s="3" t="s">
        <v>69</v>
      </c>
      <c r="C62" s="4" t="s">
        <v>70</v>
      </c>
      <c r="D62" s="5" t="s">
        <v>12</v>
      </c>
      <c r="E62" s="4" t="s">
        <v>85</v>
      </c>
      <c r="F62" s="6" t="s">
        <v>86</v>
      </c>
      <c r="G62" s="10" t="n">
        <v>1</v>
      </c>
      <c r="H62" s="12" t="n">
        <v>3</v>
      </c>
      <c r="I62" s="14" t="n">
        <f aca="false">G62+H62</f>
        <v>4</v>
      </c>
      <c r="J62" s="3" t="str">
        <f aca="false">IF(H62=9,IF(G62=9,"즉시 착수",IF(G62=3,"표준화 병행","선결 과제")),IF(H62=3,IF(G62=1,"보류","2단계 확장"),IF(G62=1,"제외","여력 시 수집")))</f>
        <v>보류</v>
      </c>
    </row>
    <row r="63" customFormat="false" ht="15" hidden="false" customHeight="false" outlineLevel="0" collapsed="false">
      <c r="A63" s="3" t="n">
        <v>62</v>
      </c>
      <c r="B63" s="3" t="s">
        <v>69</v>
      </c>
      <c r="C63" s="4" t="s">
        <v>70</v>
      </c>
      <c r="D63" s="5" t="s">
        <v>12</v>
      </c>
      <c r="E63" s="4" t="s">
        <v>85</v>
      </c>
      <c r="F63" s="6" t="s">
        <v>87</v>
      </c>
      <c r="G63" s="10" t="n">
        <v>1</v>
      </c>
      <c r="H63" s="7" t="n">
        <v>9</v>
      </c>
      <c r="I63" s="11" t="n">
        <f aca="false">G63+H63</f>
        <v>10</v>
      </c>
      <c r="J63" s="3" t="str">
        <f aca="false">IF(H63=9,IF(G63=9,"즉시 착수",IF(G63=3,"표준화 병행","선결 과제")),IF(H63=3,IF(G63=1,"보류","2단계 확장"),IF(G63=1,"제외","여력 시 수집")))</f>
        <v>선결 과제</v>
      </c>
    </row>
    <row r="64" customFormat="false" ht="15" hidden="false" customHeight="false" outlineLevel="0" collapsed="false">
      <c r="A64" s="3" t="n">
        <v>63</v>
      </c>
      <c r="B64" s="3" t="s">
        <v>69</v>
      </c>
      <c r="C64" s="4" t="s">
        <v>70</v>
      </c>
      <c r="D64" s="5" t="s">
        <v>12</v>
      </c>
      <c r="E64" s="4" t="s">
        <v>85</v>
      </c>
      <c r="F64" s="6" t="s">
        <v>88</v>
      </c>
      <c r="G64" s="10" t="n">
        <v>1</v>
      </c>
      <c r="H64" s="7" t="n">
        <v>9</v>
      </c>
      <c r="I64" s="11" t="n">
        <f aca="false">G64+H64</f>
        <v>10</v>
      </c>
      <c r="J64" s="3" t="str">
        <f aca="false">IF(H64=9,IF(G64=9,"즉시 착수",IF(G64=3,"표준화 병행","선결 과제")),IF(H64=3,IF(G64=1,"보류","2단계 확장"),IF(G64=1,"제외","여력 시 수집")))</f>
        <v>선결 과제</v>
      </c>
    </row>
    <row r="65" customFormat="false" ht="15" hidden="false" customHeight="false" outlineLevel="0" collapsed="false">
      <c r="A65" s="3" t="n">
        <v>64</v>
      </c>
      <c r="B65" s="3" t="s">
        <v>69</v>
      </c>
      <c r="C65" s="4" t="s">
        <v>70</v>
      </c>
      <c r="D65" s="5" t="s">
        <v>12</v>
      </c>
      <c r="E65" s="4" t="s">
        <v>85</v>
      </c>
      <c r="F65" s="6" t="s">
        <v>89</v>
      </c>
      <c r="G65" s="10" t="n">
        <v>1</v>
      </c>
      <c r="H65" s="12" t="n">
        <v>3</v>
      </c>
      <c r="I65" s="14" t="n">
        <f aca="false">G65+H65</f>
        <v>4</v>
      </c>
      <c r="J65" s="3" t="str">
        <f aca="false">IF(H65=9,IF(G65=9,"즉시 착수",IF(G65=3,"표준화 병행","선결 과제")),IF(H65=3,IF(G65=1,"보류","2단계 확장"),IF(G65=1,"제외","여력 시 수집")))</f>
        <v>보류</v>
      </c>
    </row>
    <row r="66" customFormat="false" ht="15" hidden="false" customHeight="false" outlineLevel="0" collapsed="false">
      <c r="A66" s="3" t="n">
        <v>65</v>
      </c>
      <c r="B66" s="3" t="s">
        <v>69</v>
      </c>
      <c r="C66" s="4" t="s">
        <v>70</v>
      </c>
      <c r="D66" s="5" t="s">
        <v>12</v>
      </c>
      <c r="E66" s="4" t="s">
        <v>85</v>
      </c>
      <c r="F66" s="6" t="s">
        <v>90</v>
      </c>
      <c r="G66" s="10" t="n">
        <v>1</v>
      </c>
      <c r="H66" s="12" t="n">
        <v>3</v>
      </c>
      <c r="I66" s="14" t="n">
        <f aca="false">G66+H66</f>
        <v>4</v>
      </c>
      <c r="J66" s="3" t="str">
        <f aca="false">IF(H66=9,IF(G66=9,"즉시 착수",IF(G66=3,"표준화 병행","선결 과제")),IF(H66=3,IF(G66=1,"보류","2단계 확장"),IF(G66=1,"제외","여력 시 수집")))</f>
        <v>보류</v>
      </c>
    </row>
    <row r="67" customFormat="false" ht="15" hidden="false" customHeight="false" outlineLevel="0" collapsed="false">
      <c r="A67" s="3" t="n">
        <v>66</v>
      </c>
      <c r="B67" s="3" t="s">
        <v>69</v>
      </c>
      <c r="C67" s="4" t="s">
        <v>70</v>
      </c>
      <c r="D67" s="5" t="s">
        <v>12</v>
      </c>
      <c r="E67" s="4" t="s">
        <v>85</v>
      </c>
      <c r="F67" s="6" t="s">
        <v>91</v>
      </c>
      <c r="G67" s="10" t="n">
        <v>1</v>
      </c>
      <c r="H67" s="12" t="n">
        <v>3</v>
      </c>
      <c r="I67" s="14" t="n">
        <f aca="false">G67+H67</f>
        <v>4</v>
      </c>
      <c r="J67" s="3" t="str">
        <f aca="false">IF(H67=9,IF(G67=9,"즉시 착수",IF(G67=3,"표준화 병행","선결 과제")),IF(H67=3,IF(G67=1,"보류","2단계 확장"),IF(G67=1,"제외","여력 시 수집")))</f>
        <v>보류</v>
      </c>
    </row>
    <row r="68" customFormat="false" ht="15" hidden="false" customHeight="false" outlineLevel="0" collapsed="false">
      <c r="A68" s="3" t="n">
        <v>67</v>
      </c>
      <c r="B68" s="3" t="s">
        <v>69</v>
      </c>
      <c r="C68" s="4" t="s">
        <v>70</v>
      </c>
      <c r="D68" s="5" t="s">
        <v>12</v>
      </c>
      <c r="E68" s="4" t="s">
        <v>92</v>
      </c>
      <c r="F68" s="6" t="s">
        <v>93</v>
      </c>
      <c r="G68" s="12" t="n">
        <v>3</v>
      </c>
      <c r="H68" s="12" t="n">
        <v>3</v>
      </c>
      <c r="I68" s="15" t="n">
        <f aca="false">G68+H68</f>
        <v>6</v>
      </c>
      <c r="J68" s="3" t="str">
        <f aca="false">IF(H68=9,IF(G68=9,"즉시 착수",IF(G68=3,"표준화 병행","선결 과제")),IF(H68=3,IF(G68=1,"보류","2단계 확장"),IF(G68=1,"제외","여력 시 수집")))</f>
        <v>2단계 확장</v>
      </c>
    </row>
    <row r="69" customFormat="false" ht="15" hidden="false" customHeight="false" outlineLevel="0" collapsed="false">
      <c r="A69" s="3" t="n">
        <v>68</v>
      </c>
      <c r="B69" s="3" t="s">
        <v>69</v>
      </c>
      <c r="C69" s="4" t="s">
        <v>70</v>
      </c>
      <c r="D69" s="5" t="s">
        <v>12</v>
      </c>
      <c r="E69" s="4" t="s">
        <v>92</v>
      </c>
      <c r="F69" s="9" t="s">
        <v>94</v>
      </c>
      <c r="G69" s="12" t="n">
        <v>3</v>
      </c>
      <c r="H69" s="12" t="n">
        <v>3</v>
      </c>
      <c r="I69" s="15" t="n">
        <f aca="false">G69+H69</f>
        <v>6</v>
      </c>
      <c r="J69" s="3" t="str">
        <f aca="false">IF(H69=9,IF(G69=9,"즉시 착수",IF(G69=3,"표준화 병행","선결 과제")),IF(H69=3,IF(G69=1,"보류","2단계 확장"),IF(G69=1,"제외","여력 시 수집")))</f>
        <v>2단계 확장</v>
      </c>
    </row>
    <row r="70" customFormat="false" ht="15" hidden="false" customHeight="false" outlineLevel="0" collapsed="false">
      <c r="A70" s="3" t="n">
        <v>69</v>
      </c>
      <c r="B70" s="3" t="s">
        <v>69</v>
      </c>
      <c r="C70" s="4" t="s">
        <v>70</v>
      </c>
      <c r="D70" s="5" t="s">
        <v>12</v>
      </c>
      <c r="E70" s="4" t="s">
        <v>92</v>
      </c>
      <c r="F70" s="6" t="s">
        <v>95</v>
      </c>
      <c r="G70" s="12" t="n">
        <v>3</v>
      </c>
      <c r="H70" s="12" t="n">
        <v>3</v>
      </c>
      <c r="I70" s="15" t="n">
        <f aca="false">G70+H70</f>
        <v>6</v>
      </c>
      <c r="J70" s="3" t="str">
        <f aca="false">IF(H70=9,IF(G70=9,"즉시 착수",IF(G70=3,"표준화 병행","선결 과제")),IF(H70=3,IF(G70=1,"보류","2단계 확장"),IF(G70=1,"제외","여력 시 수집")))</f>
        <v>2단계 확장</v>
      </c>
    </row>
    <row r="71" customFormat="false" ht="15" hidden="false" customHeight="false" outlineLevel="0" collapsed="false">
      <c r="A71" s="3" t="n">
        <v>70</v>
      </c>
      <c r="B71" s="3" t="s">
        <v>69</v>
      </c>
      <c r="C71" s="4" t="s">
        <v>70</v>
      </c>
      <c r="D71" s="5" t="s">
        <v>12</v>
      </c>
      <c r="E71" s="4" t="s">
        <v>92</v>
      </c>
      <c r="F71" s="6" t="s">
        <v>96</v>
      </c>
      <c r="G71" s="12" t="n">
        <v>3</v>
      </c>
      <c r="H71" s="12" t="n">
        <v>3</v>
      </c>
      <c r="I71" s="15" t="n">
        <f aca="false">G71+H71</f>
        <v>6</v>
      </c>
      <c r="J71" s="3" t="str">
        <f aca="false">IF(H71=9,IF(G71=9,"즉시 착수",IF(G71=3,"표준화 병행","선결 과제")),IF(H71=3,IF(G71=1,"보류","2단계 확장"),IF(G71=1,"제외","여력 시 수집")))</f>
        <v>2단계 확장</v>
      </c>
    </row>
    <row r="72" customFormat="false" ht="15" hidden="false" customHeight="false" outlineLevel="0" collapsed="false">
      <c r="A72" s="3" t="n">
        <v>71</v>
      </c>
      <c r="B72" s="3" t="s">
        <v>69</v>
      </c>
      <c r="C72" s="4" t="s">
        <v>70</v>
      </c>
      <c r="D72" s="5" t="s">
        <v>12</v>
      </c>
      <c r="E72" s="4" t="s">
        <v>92</v>
      </c>
      <c r="F72" s="9" t="s">
        <v>97</v>
      </c>
      <c r="G72" s="12" t="n">
        <v>3</v>
      </c>
      <c r="H72" s="12" t="n">
        <v>3</v>
      </c>
      <c r="I72" s="15" t="n">
        <f aca="false">G72+H72</f>
        <v>6</v>
      </c>
      <c r="J72" s="3" t="str">
        <f aca="false">IF(H72=9,IF(G72=9,"즉시 착수",IF(G72=3,"표준화 병행","선결 과제")),IF(H72=3,IF(G72=1,"보류","2단계 확장"),IF(G72=1,"제외","여력 시 수집")))</f>
        <v>2단계 확장</v>
      </c>
    </row>
    <row r="73" customFormat="false" ht="15" hidden="false" customHeight="false" outlineLevel="0" collapsed="false">
      <c r="A73" s="3" t="n">
        <v>72</v>
      </c>
      <c r="B73" s="3" t="s">
        <v>69</v>
      </c>
      <c r="C73" s="4" t="s">
        <v>70</v>
      </c>
      <c r="D73" s="5" t="s">
        <v>12</v>
      </c>
      <c r="E73" s="4" t="s">
        <v>92</v>
      </c>
      <c r="F73" s="9" t="s">
        <v>98</v>
      </c>
      <c r="G73" s="12" t="n">
        <v>3</v>
      </c>
      <c r="H73" s="10" t="n">
        <v>1</v>
      </c>
      <c r="I73" s="14" t="n">
        <f aca="false">G73+H73</f>
        <v>4</v>
      </c>
      <c r="J73" s="3" t="str">
        <f aca="false">IF(H73=9,IF(G73=9,"즉시 착수",IF(G73=3,"표준화 병행","선결 과제")),IF(H73=3,IF(G73=1,"보류","2단계 확장"),IF(G73=1,"제외","여력 시 수집")))</f>
        <v>여력 시 수집</v>
      </c>
    </row>
    <row r="74" customFormat="false" ht="15" hidden="false" customHeight="false" outlineLevel="0" collapsed="false">
      <c r="A74" s="3" t="n">
        <v>73</v>
      </c>
      <c r="B74" s="3" t="s">
        <v>69</v>
      </c>
      <c r="C74" s="4" t="s">
        <v>70</v>
      </c>
      <c r="D74" s="5" t="s">
        <v>12</v>
      </c>
      <c r="E74" s="4" t="s">
        <v>99</v>
      </c>
      <c r="F74" s="9" t="s">
        <v>100</v>
      </c>
      <c r="G74" s="12" t="n">
        <v>3</v>
      </c>
      <c r="H74" s="10" t="n">
        <v>1</v>
      </c>
      <c r="I74" s="14" t="n">
        <f aca="false">G74+H74</f>
        <v>4</v>
      </c>
      <c r="J74" s="3" t="str">
        <f aca="false">IF(H74=9,IF(G74=9,"즉시 착수",IF(G74=3,"표준화 병행","선결 과제")),IF(H74=3,IF(G74=1,"보류","2단계 확장"),IF(G74=1,"제외","여력 시 수집")))</f>
        <v>여력 시 수집</v>
      </c>
    </row>
    <row r="75" customFormat="false" ht="15" hidden="false" customHeight="false" outlineLevel="0" collapsed="false">
      <c r="A75" s="3" t="n">
        <v>74</v>
      </c>
      <c r="B75" s="3" t="s">
        <v>69</v>
      </c>
      <c r="C75" s="4" t="s">
        <v>70</v>
      </c>
      <c r="D75" s="5" t="s">
        <v>12</v>
      </c>
      <c r="E75" s="4" t="s">
        <v>99</v>
      </c>
      <c r="F75" s="9" t="s">
        <v>101</v>
      </c>
      <c r="G75" s="12" t="n">
        <v>3</v>
      </c>
      <c r="H75" s="10" t="n">
        <v>1</v>
      </c>
      <c r="I75" s="14" t="n">
        <f aca="false">G75+H75</f>
        <v>4</v>
      </c>
      <c r="J75" s="3" t="str">
        <f aca="false">IF(H75=9,IF(G75=9,"즉시 착수",IF(G75=3,"표준화 병행","선결 과제")),IF(H75=3,IF(G75=1,"보류","2단계 확장"),IF(G75=1,"제외","여력 시 수집")))</f>
        <v>여력 시 수집</v>
      </c>
    </row>
    <row r="76" customFormat="false" ht="15" hidden="false" customHeight="false" outlineLevel="0" collapsed="false">
      <c r="A76" s="3" t="n">
        <v>75</v>
      </c>
      <c r="B76" s="3" t="s">
        <v>69</v>
      </c>
      <c r="C76" s="4" t="s">
        <v>70</v>
      </c>
      <c r="D76" s="5" t="s">
        <v>12</v>
      </c>
      <c r="E76" s="4" t="s">
        <v>99</v>
      </c>
      <c r="F76" s="9" t="s">
        <v>102</v>
      </c>
      <c r="G76" s="12" t="n">
        <v>3</v>
      </c>
      <c r="H76" s="10" t="n">
        <v>1</v>
      </c>
      <c r="I76" s="14" t="n">
        <f aca="false">G76+H76</f>
        <v>4</v>
      </c>
      <c r="J76" s="3" t="str">
        <f aca="false">IF(H76=9,IF(G76=9,"즉시 착수",IF(G76=3,"표준화 병행","선결 과제")),IF(H76=3,IF(G76=1,"보류","2단계 확장"),IF(G76=1,"제외","여력 시 수집")))</f>
        <v>여력 시 수집</v>
      </c>
    </row>
    <row r="77" customFormat="false" ht="15" hidden="false" customHeight="false" outlineLevel="0" collapsed="false">
      <c r="A77" s="3" t="n">
        <v>76</v>
      </c>
      <c r="B77" s="3" t="s">
        <v>69</v>
      </c>
      <c r="C77" s="4" t="s">
        <v>70</v>
      </c>
      <c r="D77" s="5" t="s">
        <v>12</v>
      </c>
      <c r="E77" s="4" t="s">
        <v>99</v>
      </c>
      <c r="F77" s="9" t="s">
        <v>103</v>
      </c>
      <c r="G77" s="12" t="n">
        <v>3</v>
      </c>
      <c r="H77" s="10" t="n">
        <v>1</v>
      </c>
      <c r="I77" s="14" t="n">
        <f aca="false">G77+H77</f>
        <v>4</v>
      </c>
      <c r="J77" s="3" t="str">
        <f aca="false">IF(H77=9,IF(G77=9,"즉시 착수",IF(G77=3,"표준화 병행","선결 과제")),IF(H77=3,IF(G77=1,"보류","2단계 확장"),IF(G77=1,"제외","여력 시 수집")))</f>
        <v>여력 시 수집</v>
      </c>
    </row>
    <row r="78" customFormat="false" ht="15" hidden="false" customHeight="false" outlineLevel="0" collapsed="false">
      <c r="A78" s="3" t="n">
        <v>77</v>
      </c>
      <c r="B78" s="3" t="s">
        <v>69</v>
      </c>
      <c r="C78" s="4" t="s">
        <v>70</v>
      </c>
      <c r="D78" s="5" t="s">
        <v>12</v>
      </c>
      <c r="E78" s="4" t="s">
        <v>99</v>
      </c>
      <c r="F78" s="9" t="s">
        <v>104</v>
      </c>
      <c r="G78" s="10" t="n">
        <v>1</v>
      </c>
      <c r="H78" s="12" t="n">
        <v>3</v>
      </c>
      <c r="I78" s="14" t="n">
        <f aca="false">G78+H78</f>
        <v>4</v>
      </c>
      <c r="J78" s="3" t="str">
        <f aca="false">IF(H78=9,IF(G78=9,"즉시 착수",IF(G78=3,"표준화 병행","선결 과제")),IF(H78=3,IF(G78=1,"보류","2단계 확장"),IF(G78=1,"제외","여력 시 수집")))</f>
        <v>보류</v>
      </c>
    </row>
    <row r="79" customFormat="false" ht="15" hidden="false" customHeight="false" outlineLevel="0" collapsed="false">
      <c r="A79" s="3" t="n">
        <v>78</v>
      </c>
      <c r="B79" s="3" t="s">
        <v>69</v>
      </c>
      <c r="C79" s="4" t="s">
        <v>70</v>
      </c>
      <c r="D79" s="5" t="s">
        <v>12</v>
      </c>
      <c r="E79" s="4" t="s">
        <v>99</v>
      </c>
      <c r="F79" s="6" t="s">
        <v>105</v>
      </c>
      <c r="G79" s="10" t="n">
        <v>1</v>
      </c>
      <c r="H79" s="10" t="n">
        <v>1</v>
      </c>
      <c r="I79" s="16" t="n">
        <f aca="false">G79+H79</f>
        <v>2</v>
      </c>
      <c r="J79" s="3" t="str">
        <f aca="false">IF(H79=9,IF(G79=9,"즉시 착수",IF(G79=3,"표준화 병행","선결 과제")),IF(H79=3,IF(G79=1,"보류","2단계 확장"),IF(G79=1,"제외","여력 시 수집")))</f>
        <v>제외</v>
      </c>
    </row>
    <row r="80" customFormat="false" ht="15" hidden="false" customHeight="false" outlineLevel="0" collapsed="false">
      <c r="A80" s="3" t="n">
        <v>79</v>
      </c>
      <c r="B80" s="3" t="s">
        <v>69</v>
      </c>
      <c r="C80" s="4" t="s">
        <v>70</v>
      </c>
      <c r="D80" s="5" t="s">
        <v>12</v>
      </c>
      <c r="E80" s="4" t="s">
        <v>106</v>
      </c>
      <c r="F80" s="9" t="s">
        <v>107</v>
      </c>
      <c r="G80" s="7" t="n">
        <v>9</v>
      </c>
      <c r="H80" s="12" t="n">
        <v>3</v>
      </c>
      <c r="I80" s="13" t="n">
        <f aca="false">G80+H80</f>
        <v>12</v>
      </c>
      <c r="J80" s="3" t="str">
        <f aca="false">IF(H80=9,IF(G80=9,"즉시 착수",IF(G80=3,"표준화 병행","선결 과제")),IF(H80=3,IF(G80=1,"보류","2단계 확장"),IF(G80=1,"제외","여력 시 수집")))</f>
        <v>2단계 확장</v>
      </c>
    </row>
    <row r="81" customFormat="false" ht="15" hidden="false" customHeight="false" outlineLevel="0" collapsed="false">
      <c r="A81" s="3" t="n">
        <v>80</v>
      </c>
      <c r="B81" s="3" t="s">
        <v>69</v>
      </c>
      <c r="C81" s="4" t="s">
        <v>70</v>
      </c>
      <c r="D81" s="5" t="s">
        <v>12</v>
      </c>
      <c r="E81" s="4" t="s">
        <v>106</v>
      </c>
      <c r="F81" s="9" t="s">
        <v>108</v>
      </c>
      <c r="G81" s="7" t="n">
        <v>9</v>
      </c>
      <c r="H81" s="12" t="n">
        <v>3</v>
      </c>
      <c r="I81" s="13" t="n">
        <f aca="false">G81+H81</f>
        <v>12</v>
      </c>
      <c r="J81" s="3" t="str">
        <f aca="false">IF(H81=9,IF(G81=9,"즉시 착수",IF(G81=3,"표준화 병행","선결 과제")),IF(H81=3,IF(G81=1,"보류","2단계 확장"),IF(G81=1,"제외","여력 시 수집")))</f>
        <v>2단계 확장</v>
      </c>
    </row>
    <row r="82" customFormat="false" ht="15" hidden="false" customHeight="false" outlineLevel="0" collapsed="false">
      <c r="A82" s="3" t="n">
        <v>81</v>
      </c>
      <c r="B82" s="3" t="s">
        <v>69</v>
      </c>
      <c r="C82" s="4" t="s">
        <v>70</v>
      </c>
      <c r="D82" s="5" t="s">
        <v>12</v>
      </c>
      <c r="E82" s="4" t="s">
        <v>106</v>
      </c>
      <c r="F82" s="9" t="s">
        <v>109</v>
      </c>
      <c r="G82" s="10" t="n">
        <v>1</v>
      </c>
      <c r="H82" s="12" t="n">
        <v>3</v>
      </c>
      <c r="I82" s="14" t="n">
        <f aca="false">G82+H82</f>
        <v>4</v>
      </c>
      <c r="J82" s="3" t="str">
        <f aca="false">IF(H82=9,IF(G82=9,"즉시 착수",IF(G82=3,"표준화 병행","선결 과제")),IF(H82=3,IF(G82=1,"보류","2단계 확장"),IF(G82=1,"제외","여력 시 수집")))</f>
        <v>보류</v>
      </c>
    </row>
    <row r="83" customFormat="false" ht="15" hidden="false" customHeight="false" outlineLevel="0" collapsed="false">
      <c r="A83" s="3" t="n">
        <v>82</v>
      </c>
      <c r="B83" s="3" t="s">
        <v>69</v>
      </c>
      <c r="C83" s="4" t="s">
        <v>70</v>
      </c>
      <c r="D83" s="5" t="s">
        <v>12</v>
      </c>
      <c r="E83" s="4" t="s">
        <v>106</v>
      </c>
      <c r="F83" s="9" t="s">
        <v>110</v>
      </c>
      <c r="G83" s="7" t="n">
        <v>9</v>
      </c>
      <c r="H83" s="12" t="n">
        <v>3</v>
      </c>
      <c r="I83" s="13" t="n">
        <f aca="false">G83+H83</f>
        <v>12</v>
      </c>
      <c r="J83" s="3" t="str">
        <f aca="false">IF(H83=9,IF(G83=9,"즉시 착수",IF(G83=3,"표준화 병행","선결 과제")),IF(H83=3,IF(G83=1,"보류","2단계 확장"),IF(G83=1,"제외","여력 시 수집")))</f>
        <v>2단계 확장</v>
      </c>
    </row>
    <row r="84" customFormat="false" ht="15" hidden="false" customHeight="false" outlineLevel="0" collapsed="false">
      <c r="A84" s="3" t="n">
        <v>83</v>
      </c>
      <c r="B84" s="3" t="s">
        <v>69</v>
      </c>
      <c r="C84" s="4" t="s">
        <v>70</v>
      </c>
      <c r="D84" s="5" t="s">
        <v>12</v>
      </c>
      <c r="E84" s="4" t="s">
        <v>106</v>
      </c>
      <c r="F84" s="9" t="s">
        <v>111</v>
      </c>
      <c r="G84" s="7" t="n">
        <v>9</v>
      </c>
      <c r="H84" s="10" t="n">
        <v>1</v>
      </c>
      <c r="I84" s="11" t="n">
        <f aca="false">G84+H84</f>
        <v>10</v>
      </c>
      <c r="J84" s="3" t="str">
        <f aca="false">IF(H84=9,IF(G84=9,"즉시 착수",IF(G84=3,"표준화 병행","선결 과제")),IF(H84=3,IF(G84=1,"보류","2단계 확장"),IF(G84=1,"제외","여력 시 수집")))</f>
        <v>여력 시 수집</v>
      </c>
    </row>
    <row r="85" customFormat="false" ht="15" hidden="false" customHeight="false" outlineLevel="0" collapsed="false">
      <c r="A85" s="3" t="n">
        <v>84</v>
      </c>
      <c r="B85" s="3" t="s">
        <v>69</v>
      </c>
      <c r="C85" s="4" t="s">
        <v>70</v>
      </c>
      <c r="D85" s="5" t="s">
        <v>12</v>
      </c>
      <c r="E85" s="4" t="s">
        <v>106</v>
      </c>
      <c r="F85" s="9" t="s">
        <v>112</v>
      </c>
      <c r="G85" s="7" t="n">
        <v>9</v>
      </c>
      <c r="H85" s="12" t="n">
        <v>3</v>
      </c>
      <c r="I85" s="13" t="n">
        <f aca="false">G85+H85</f>
        <v>12</v>
      </c>
      <c r="J85" s="3" t="str">
        <f aca="false">IF(H85=9,IF(G85=9,"즉시 착수",IF(G85=3,"표준화 병행","선결 과제")),IF(H85=3,IF(G85=1,"보류","2단계 확장"),IF(G85=1,"제외","여력 시 수집")))</f>
        <v>2단계 확장</v>
      </c>
    </row>
    <row r="86" customFormat="false" ht="15" hidden="false" customHeight="false" outlineLevel="0" collapsed="false">
      <c r="A86" s="3" t="n">
        <v>85</v>
      </c>
      <c r="B86" s="3" t="s">
        <v>69</v>
      </c>
      <c r="C86" s="4" t="s">
        <v>70</v>
      </c>
      <c r="D86" s="5" t="s">
        <v>12</v>
      </c>
      <c r="E86" s="4" t="s">
        <v>113</v>
      </c>
      <c r="F86" s="9" t="s">
        <v>114</v>
      </c>
      <c r="G86" s="12" t="n">
        <v>3</v>
      </c>
      <c r="H86" s="7" t="n">
        <v>9</v>
      </c>
      <c r="I86" s="13" t="n">
        <f aca="false">G86+H86</f>
        <v>12</v>
      </c>
      <c r="J86" s="3" t="str">
        <f aca="false">IF(H86=9,IF(G86=9,"즉시 착수",IF(G86=3,"표준화 병행","선결 과제")),IF(H86=3,IF(G86=1,"보류","2단계 확장"),IF(G86=1,"제외","여력 시 수집")))</f>
        <v>표준화 병행</v>
      </c>
    </row>
    <row r="87" customFormat="false" ht="15" hidden="false" customHeight="false" outlineLevel="0" collapsed="false">
      <c r="A87" s="3" t="n">
        <v>86</v>
      </c>
      <c r="B87" s="3" t="s">
        <v>69</v>
      </c>
      <c r="C87" s="4" t="s">
        <v>70</v>
      </c>
      <c r="D87" s="5" t="s">
        <v>12</v>
      </c>
      <c r="E87" s="4" t="s">
        <v>113</v>
      </c>
      <c r="F87" s="9" t="s">
        <v>115</v>
      </c>
      <c r="G87" s="12" t="n">
        <v>3</v>
      </c>
      <c r="H87" s="7" t="n">
        <v>9</v>
      </c>
      <c r="I87" s="13" t="n">
        <f aca="false">G87+H87</f>
        <v>12</v>
      </c>
      <c r="J87" s="3" t="str">
        <f aca="false">IF(H87=9,IF(G87=9,"즉시 착수",IF(G87=3,"표준화 병행","선결 과제")),IF(H87=3,IF(G87=1,"보류","2단계 확장"),IF(G87=1,"제외","여력 시 수집")))</f>
        <v>표준화 병행</v>
      </c>
    </row>
    <row r="88" customFormat="false" ht="15" hidden="false" customHeight="false" outlineLevel="0" collapsed="false">
      <c r="A88" s="3" t="n">
        <v>87</v>
      </c>
      <c r="B88" s="3" t="s">
        <v>69</v>
      </c>
      <c r="C88" s="4" t="s">
        <v>70</v>
      </c>
      <c r="D88" s="5" t="s">
        <v>12</v>
      </c>
      <c r="E88" s="4" t="s">
        <v>113</v>
      </c>
      <c r="F88" s="9" t="s">
        <v>116</v>
      </c>
      <c r="G88" s="12" t="n">
        <v>3</v>
      </c>
      <c r="H88" s="7" t="n">
        <v>9</v>
      </c>
      <c r="I88" s="13" t="n">
        <f aca="false">G88+H88</f>
        <v>12</v>
      </c>
      <c r="J88" s="3" t="str">
        <f aca="false">IF(H88=9,IF(G88=9,"즉시 착수",IF(G88=3,"표준화 병행","선결 과제")),IF(H88=3,IF(G88=1,"보류","2단계 확장"),IF(G88=1,"제외","여력 시 수집")))</f>
        <v>표준화 병행</v>
      </c>
    </row>
    <row r="89" customFormat="false" ht="15" hidden="false" customHeight="false" outlineLevel="0" collapsed="false">
      <c r="A89" s="3" t="n">
        <v>88</v>
      </c>
      <c r="B89" s="3" t="s">
        <v>69</v>
      </c>
      <c r="C89" s="4" t="s">
        <v>70</v>
      </c>
      <c r="D89" s="5" t="s">
        <v>12</v>
      </c>
      <c r="E89" s="4" t="s">
        <v>113</v>
      </c>
      <c r="F89" s="9" t="s">
        <v>117</v>
      </c>
      <c r="G89" s="12" t="n">
        <v>3</v>
      </c>
      <c r="H89" s="7" t="n">
        <v>9</v>
      </c>
      <c r="I89" s="13" t="n">
        <f aca="false">G89+H89</f>
        <v>12</v>
      </c>
      <c r="J89" s="3" t="str">
        <f aca="false">IF(H89=9,IF(G89=9,"즉시 착수",IF(G89=3,"표준화 병행","선결 과제")),IF(H89=3,IF(G89=1,"보류","2단계 확장"),IF(G89=1,"제외","여력 시 수집")))</f>
        <v>표준화 병행</v>
      </c>
    </row>
    <row r="90" customFormat="false" ht="15" hidden="false" customHeight="false" outlineLevel="0" collapsed="false">
      <c r="A90" s="3" t="n">
        <v>89</v>
      </c>
      <c r="B90" s="3" t="s">
        <v>69</v>
      </c>
      <c r="C90" s="4" t="s">
        <v>70</v>
      </c>
      <c r="D90" s="5" t="s">
        <v>12</v>
      </c>
      <c r="E90" s="4" t="s">
        <v>113</v>
      </c>
      <c r="F90" s="9" t="s">
        <v>118</v>
      </c>
      <c r="G90" s="12" t="n">
        <v>3</v>
      </c>
      <c r="H90" s="7" t="n">
        <v>9</v>
      </c>
      <c r="I90" s="13" t="n">
        <f aca="false">G90+H90</f>
        <v>12</v>
      </c>
      <c r="J90" s="3" t="str">
        <f aca="false">IF(H90=9,IF(G90=9,"즉시 착수",IF(G90=3,"표준화 병행","선결 과제")),IF(H90=3,IF(G90=1,"보류","2단계 확장"),IF(G90=1,"제외","여력 시 수집")))</f>
        <v>표준화 병행</v>
      </c>
    </row>
    <row r="91" customFormat="false" ht="15" hidden="false" customHeight="false" outlineLevel="0" collapsed="false">
      <c r="A91" s="3" t="n">
        <v>90</v>
      </c>
      <c r="B91" s="3" t="s">
        <v>69</v>
      </c>
      <c r="C91" s="4" t="s">
        <v>70</v>
      </c>
      <c r="D91" s="5" t="s">
        <v>12</v>
      </c>
      <c r="E91" s="4" t="s">
        <v>113</v>
      </c>
      <c r="F91" s="9" t="s">
        <v>119</v>
      </c>
      <c r="G91" s="10" t="n">
        <v>1</v>
      </c>
      <c r="H91" s="7" t="n">
        <v>9</v>
      </c>
      <c r="I91" s="11" t="n">
        <f aca="false">G91+H91</f>
        <v>10</v>
      </c>
      <c r="J91" s="3" t="str">
        <f aca="false">IF(H91=9,IF(G91=9,"즉시 착수",IF(G91=3,"표준화 병행","선결 과제")),IF(H91=3,IF(G91=1,"보류","2단계 확장"),IF(G91=1,"제외","여력 시 수집")))</f>
        <v>선결 과제</v>
      </c>
    </row>
    <row r="92" customFormat="false" ht="15" hidden="false" customHeight="false" outlineLevel="0" collapsed="false">
      <c r="A92" s="3" t="n">
        <v>91</v>
      </c>
      <c r="B92" s="3" t="s">
        <v>69</v>
      </c>
      <c r="C92" s="4" t="s">
        <v>70</v>
      </c>
      <c r="D92" s="5" t="s">
        <v>12</v>
      </c>
      <c r="E92" s="4" t="s">
        <v>120</v>
      </c>
      <c r="F92" s="9" t="s">
        <v>121</v>
      </c>
      <c r="G92" s="12" t="n">
        <v>3</v>
      </c>
      <c r="H92" s="12" t="n">
        <v>3</v>
      </c>
      <c r="I92" s="15" t="n">
        <f aca="false">G92+H92</f>
        <v>6</v>
      </c>
      <c r="J92" s="3" t="str">
        <f aca="false">IF(H92=9,IF(G92=9,"즉시 착수",IF(G92=3,"표준화 병행","선결 과제")),IF(H92=3,IF(G92=1,"보류","2단계 확장"),IF(G92=1,"제외","여력 시 수집")))</f>
        <v>2단계 확장</v>
      </c>
    </row>
    <row r="93" customFormat="false" ht="15" hidden="false" customHeight="false" outlineLevel="0" collapsed="false">
      <c r="A93" s="3" t="n">
        <v>92</v>
      </c>
      <c r="B93" s="3" t="s">
        <v>69</v>
      </c>
      <c r="C93" s="4" t="s">
        <v>70</v>
      </c>
      <c r="D93" s="5" t="s">
        <v>12</v>
      </c>
      <c r="E93" s="4" t="s">
        <v>120</v>
      </c>
      <c r="F93" s="9" t="s">
        <v>122</v>
      </c>
      <c r="G93" s="12" t="n">
        <v>3</v>
      </c>
      <c r="H93" s="12" t="n">
        <v>3</v>
      </c>
      <c r="I93" s="15" t="n">
        <f aca="false">G93+H93</f>
        <v>6</v>
      </c>
      <c r="J93" s="3" t="str">
        <f aca="false">IF(H93=9,IF(G93=9,"즉시 착수",IF(G93=3,"표준화 병행","선결 과제")),IF(H93=3,IF(G93=1,"보류","2단계 확장"),IF(G93=1,"제외","여력 시 수집")))</f>
        <v>2단계 확장</v>
      </c>
    </row>
    <row r="94" customFormat="false" ht="15" hidden="false" customHeight="false" outlineLevel="0" collapsed="false">
      <c r="A94" s="3" t="n">
        <v>93</v>
      </c>
      <c r="B94" s="3" t="s">
        <v>69</v>
      </c>
      <c r="C94" s="4" t="s">
        <v>70</v>
      </c>
      <c r="D94" s="5" t="s">
        <v>12</v>
      </c>
      <c r="E94" s="4" t="s">
        <v>120</v>
      </c>
      <c r="F94" s="9" t="s">
        <v>123</v>
      </c>
      <c r="G94" s="12" t="n">
        <v>3</v>
      </c>
      <c r="H94" s="12" t="n">
        <v>3</v>
      </c>
      <c r="I94" s="15" t="n">
        <f aca="false">G94+H94</f>
        <v>6</v>
      </c>
      <c r="J94" s="3" t="str">
        <f aca="false">IF(H94=9,IF(G94=9,"즉시 착수",IF(G94=3,"표준화 병행","선결 과제")),IF(H94=3,IF(G94=1,"보류","2단계 확장"),IF(G94=1,"제외","여력 시 수집")))</f>
        <v>2단계 확장</v>
      </c>
    </row>
    <row r="95" customFormat="false" ht="15" hidden="false" customHeight="false" outlineLevel="0" collapsed="false">
      <c r="A95" s="3" t="n">
        <v>94</v>
      </c>
      <c r="B95" s="3" t="s">
        <v>69</v>
      </c>
      <c r="C95" s="4" t="s">
        <v>70</v>
      </c>
      <c r="D95" s="5" t="s">
        <v>12</v>
      </c>
      <c r="E95" s="4" t="s">
        <v>120</v>
      </c>
      <c r="F95" s="6" t="s">
        <v>124</v>
      </c>
      <c r="G95" s="12" t="n">
        <v>3</v>
      </c>
      <c r="H95" s="12" t="n">
        <v>3</v>
      </c>
      <c r="I95" s="15" t="n">
        <f aca="false">G95+H95</f>
        <v>6</v>
      </c>
      <c r="J95" s="3" t="str">
        <f aca="false">IF(H95=9,IF(G95=9,"즉시 착수",IF(G95=3,"표준화 병행","선결 과제")),IF(H95=3,IF(G95=1,"보류","2단계 확장"),IF(G95=1,"제외","여력 시 수집")))</f>
        <v>2단계 확장</v>
      </c>
    </row>
    <row r="96" customFormat="false" ht="15" hidden="false" customHeight="false" outlineLevel="0" collapsed="false">
      <c r="A96" s="3" t="n">
        <v>95</v>
      </c>
      <c r="B96" s="3" t="s">
        <v>69</v>
      </c>
      <c r="C96" s="4" t="s">
        <v>70</v>
      </c>
      <c r="D96" s="5" t="s">
        <v>12</v>
      </c>
      <c r="E96" s="4" t="s">
        <v>120</v>
      </c>
      <c r="F96" s="9" t="s">
        <v>125</v>
      </c>
      <c r="G96" s="10" t="n">
        <v>1</v>
      </c>
      <c r="H96" s="7" t="n">
        <v>9</v>
      </c>
      <c r="I96" s="11" t="n">
        <f aca="false">G96+H96</f>
        <v>10</v>
      </c>
      <c r="J96" s="3" t="str">
        <f aca="false">IF(H96=9,IF(G96=9,"즉시 착수",IF(G96=3,"표준화 병행","선결 과제")),IF(H96=3,IF(G96=1,"보류","2단계 확장"),IF(G96=1,"제외","여력 시 수집")))</f>
        <v>선결 과제</v>
      </c>
    </row>
    <row r="97" customFormat="false" ht="15" hidden="false" customHeight="false" outlineLevel="0" collapsed="false">
      <c r="A97" s="3" t="n">
        <v>96</v>
      </c>
      <c r="B97" s="3" t="s">
        <v>69</v>
      </c>
      <c r="C97" s="4" t="s">
        <v>70</v>
      </c>
      <c r="D97" s="5" t="s">
        <v>12</v>
      </c>
      <c r="E97" s="4" t="s">
        <v>120</v>
      </c>
      <c r="F97" s="9" t="s">
        <v>126</v>
      </c>
      <c r="G97" s="12" t="n">
        <v>3</v>
      </c>
      <c r="H97" s="12" t="n">
        <v>3</v>
      </c>
      <c r="I97" s="15" t="n">
        <f aca="false">G97+H97</f>
        <v>6</v>
      </c>
      <c r="J97" s="3" t="str">
        <f aca="false">IF(H97=9,IF(G97=9,"즉시 착수",IF(G97=3,"표준화 병행","선결 과제")),IF(H97=3,IF(G97=1,"보류","2단계 확장"),IF(G97=1,"제외","여력 시 수집")))</f>
        <v>2단계 확장</v>
      </c>
    </row>
    <row r="98" customFormat="false" ht="15" hidden="false" customHeight="false" outlineLevel="0" collapsed="false">
      <c r="A98" s="3" t="n">
        <v>97</v>
      </c>
      <c r="B98" s="3" t="s">
        <v>127</v>
      </c>
      <c r="C98" s="4" t="s">
        <v>128</v>
      </c>
      <c r="D98" s="5" t="s">
        <v>12</v>
      </c>
      <c r="E98" s="4" t="s">
        <v>129</v>
      </c>
      <c r="F98" s="9" t="s">
        <v>130</v>
      </c>
      <c r="G98" s="7" t="n">
        <v>9</v>
      </c>
      <c r="H98" s="12" t="n">
        <v>3</v>
      </c>
      <c r="I98" s="13" t="n">
        <f aca="false">G98+H98</f>
        <v>12</v>
      </c>
      <c r="J98" s="3" t="str">
        <f aca="false">IF(H98=9,IF(G98=9,"즉시 착수",IF(G98=3,"표준화 병행","선결 과제")),IF(H98=3,IF(G98=1,"보류","2단계 확장"),IF(G98=1,"제외","여력 시 수집")))</f>
        <v>2단계 확장</v>
      </c>
    </row>
    <row r="99" customFormat="false" ht="15" hidden="false" customHeight="false" outlineLevel="0" collapsed="false">
      <c r="A99" s="3" t="n">
        <v>98</v>
      </c>
      <c r="B99" s="3" t="s">
        <v>127</v>
      </c>
      <c r="C99" s="4" t="s">
        <v>128</v>
      </c>
      <c r="D99" s="5" t="s">
        <v>12</v>
      </c>
      <c r="E99" s="4" t="s">
        <v>129</v>
      </c>
      <c r="F99" s="9" t="s">
        <v>131</v>
      </c>
      <c r="G99" s="7" t="n">
        <v>9</v>
      </c>
      <c r="H99" s="12" t="n">
        <v>3</v>
      </c>
      <c r="I99" s="13" t="n">
        <f aca="false">G99+H99</f>
        <v>12</v>
      </c>
      <c r="J99" s="3" t="str">
        <f aca="false">IF(H99=9,IF(G99=9,"즉시 착수",IF(G99=3,"표준화 병행","선결 과제")),IF(H99=3,IF(G99=1,"보류","2단계 확장"),IF(G99=1,"제외","여력 시 수집")))</f>
        <v>2단계 확장</v>
      </c>
    </row>
    <row r="100" customFormat="false" ht="15" hidden="false" customHeight="false" outlineLevel="0" collapsed="false">
      <c r="A100" s="3" t="n">
        <v>99</v>
      </c>
      <c r="B100" s="3" t="s">
        <v>127</v>
      </c>
      <c r="C100" s="4" t="s">
        <v>128</v>
      </c>
      <c r="D100" s="5" t="s">
        <v>12</v>
      </c>
      <c r="E100" s="4" t="s">
        <v>129</v>
      </c>
      <c r="F100" s="9" t="s">
        <v>132</v>
      </c>
      <c r="G100" s="7" t="n">
        <v>9</v>
      </c>
      <c r="H100" s="12" t="n">
        <v>3</v>
      </c>
      <c r="I100" s="13" t="n">
        <f aca="false">G100+H100</f>
        <v>12</v>
      </c>
      <c r="J100" s="3" t="str">
        <f aca="false">IF(H100=9,IF(G100=9,"즉시 착수",IF(G100=3,"표준화 병행","선결 과제")),IF(H100=3,IF(G100=1,"보류","2단계 확장"),IF(G100=1,"제외","여력 시 수집")))</f>
        <v>2단계 확장</v>
      </c>
    </row>
    <row r="101" customFormat="false" ht="15" hidden="false" customHeight="false" outlineLevel="0" collapsed="false">
      <c r="A101" s="3" t="n">
        <v>100</v>
      </c>
      <c r="B101" s="3" t="s">
        <v>127</v>
      </c>
      <c r="C101" s="4" t="s">
        <v>128</v>
      </c>
      <c r="D101" s="5" t="s">
        <v>12</v>
      </c>
      <c r="E101" s="4" t="s">
        <v>129</v>
      </c>
      <c r="F101" s="9" t="s">
        <v>133</v>
      </c>
      <c r="G101" s="7" t="n">
        <v>9</v>
      </c>
      <c r="H101" s="12" t="n">
        <v>3</v>
      </c>
      <c r="I101" s="13" t="n">
        <f aca="false">G101+H101</f>
        <v>12</v>
      </c>
      <c r="J101" s="3" t="str">
        <f aca="false">IF(H101=9,IF(G101=9,"즉시 착수",IF(G101=3,"표준화 병행","선결 과제")),IF(H101=3,IF(G101=1,"보류","2단계 확장"),IF(G101=1,"제외","여력 시 수집")))</f>
        <v>2단계 확장</v>
      </c>
    </row>
    <row r="102" customFormat="false" ht="15" hidden="false" customHeight="false" outlineLevel="0" collapsed="false">
      <c r="A102" s="3" t="n">
        <v>101</v>
      </c>
      <c r="B102" s="3" t="s">
        <v>127</v>
      </c>
      <c r="C102" s="4" t="s">
        <v>128</v>
      </c>
      <c r="D102" s="5" t="s">
        <v>12</v>
      </c>
      <c r="E102" s="4" t="s">
        <v>129</v>
      </c>
      <c r="F102" s="9" t="s">
        <v>134</v>
      </c>
      <c r="G102" s="7" t="n">
        <v>9</v>
      </c>
      <c r="H102" s="12" t="n">
        <v>3</v>
      </c>
      <c r="I102" s="13" t="n">
        <f aca="false">G102+H102</f>
        <v>12</v>
      </c>
      <c r="J102" s="3" t="str">
        <f aca="false">IF(H102=9,IF(G102=9,"즉시 착수",IF(G102=3,"표준화 병행","선결 과제")),IF(H102=3,IF(G102=1,"보류","2단계 확장"),IF(G102=1,"제외","여력 시 수집")))</f>
        <v>2단계 확장</v>
      </c>
    </row>
    <row r="103" customFormat="false" ht="15" hidden="false" customHeight="false" outlineLevel="0" collapsed="false">
      <c r="A103" s="3" t="n">
        <v>102</v>
      </c>
      <c r="B103" s="3" t="s">
        <v>127</v>
      </c>
      <c r="C103" s="4" t="s">
        <v>128</v>
      </c>
      <c r="D103" s="5" t="s">
        <v>12</v>
      </c>
      <c r="E103" s="4" t="s">
        <v>129</v>
      </c>
      <c r="F103" s="9" t="s">
        <v>135</v>
      </c>
      <c r="G103" s="7" t="n">
        <v>9</v>
      </c>
      <c r="H103" s="12" t="n">
        <v>3</v>
      </c>
      <c r="I103" s="13" t="n">
        <f aca="false">G103+H103</f>
        <v>12</v>
      </c>
      <c r="J103" s="3" t="str">
        <f aca="false">IF(H103=9,IF(G103=9,"즉시 착수",IF(G103=3,"표준화 병행","선결 과제")),IF(H103=3,IF(G103=1,"보류","2단계 확장"),IF(G103=1,"제외","여력 시 수집")))</f>
        <v>2단계 확장</v>
      </c>
    </row>
    <row r="104" customFormat="false" ht="15" hidden="false" customHeight="false" outlineLevel="0" collapsed="false">
      <c r="A104" s="3" t="n">
        <v>103</v>
      </c>
      <c r="B104" s="3" t="s">
        <v>127</v>
      </c>
      <c r="C104" s="4" t="s">
        <v>128</v>
      </c>
      <c r="D104" s="5" t="s">
        <v>12</v>
      </c>
      <c r="E104" s="4" t="s">
        <v>136</v>
      </c>
      <c r="F104" s="9" t="s">
        <v>137</v>
      </c>
      <c r="G104" s="10" t="n">
        <v>1</v>
      </c>
      <c r="H104" s="7" t="n">
        <v>9</v>
      </c>
      <c r="I104" s="11" t="n">
        <f aca="false">G104+H104</f>
        <v>10</v>
      </c>
      <c r="J104" s="3" t="str">
        <f aca="false">IF(H104=9,IF(G104=9,"즉시 착수",IF(G104=3,"표준화 병행","선결 과제")),IF(H104=3,IF(G104=1,"보류","2단계 확장"),IF(G104=1,"제외","여력 시 수집")))</f>
        <v>선결 과제</v>
      </c>
    </row>
    <row r="105" customFormat="false" ht="15" hidden="false" customHeight="false" outlineLevel="0" collapsed="false">
      <c r="A105" s="3" t="n">
        <v>104</v>
      </c>
      <c r="B105" s="3" t="s">
        <v>127</v>
      </c>
      <c r="C105" s="4" t="s">
        <v>128</v>
      </c>
      <c r="D105" s="5" t="s">
        <v>12</v>
      </c>
      <c r="E105" s="4" t="s">
        <v>136</v>
      </c>
      <c r="F105" s="9" t="s">
        <v>138</v>
      </c>
      <c r="G105" s="7" t="n">
        <v>9</v>
      </c>
      <c r="H105" s="12" t="n">
        <v>3</v>
      </c>
      <c r="I105" s="13" t="n">
        <f aca="false">G105+H105</f>
        <v>12</v>
      </c>
      <c r="J105" s="3" t="str">
        <f aca="false">IF(H105=9,IF(G105=9,"즉시 착수",IF(G105=3,"표준화 병행","선결 과제")),IF(H105=3,IF(G105=1,"보류","2단계 확장"),IF(G105=1,"제외","여력 시 수집")))</f>
        <v>2단계 확장</v>
      </c>
    </row>
    <row r="106" customFormat="false" ht="15" hidden="false" customHeight="false" outlineLevel="0" collapsed="false">
      <c r="A106" s="3" t="n">
        <v>105</v>
      </c>
      <c r="B106" s="3" t="s">
        <v>127</v>
      </c>
      <c r="C106" s="4" t="s">
        <v>128</v>
      </c>
      <c r="D106" s="5" t="s">
        <v>12</v>
      </c>
      <c r="E106" s="4" t="s">
        <v>136</v>
      </c>
      <c r="F106" s="9" t="s">
        <v>139</v>
      </c>
      <c r="G106" s="10" t="n">
        <v>1</v>
      </c>
      <c r="H106" s="7" t="n">
        <v>9</v>
      </c>
      <c r="I106" s="11" t="n">
        <f aca="false">G106+H106</f>
        <v>10</v>
      </c>
      <c r="J106" s="3" t="str">
        <f aca="false">IF(H106=9,IF(G106=9,"즉시 착수",IF(G106=3,"표준화 병행","선결 과제")),IF(H106=3,IF(G106=1,"보류","2단계 확장"),IF(G106=1,"제외","여력 시 수집")))</f>
        <v>선결 과제</v>
      </c>
    </row>
    <row r="107" customFormat="false" ht="15" hidden="false" customHeight="false" outlineLevel="0" collapsed="false">
      <c r="A107" s="3" t="n">
        <v>106</v>
      </c>
      <c r="B107" s="3" t="s">
        <v>127</v>
      </c>
      <c r="C107" s="4" t="s">
        <v>128</v>
      </c>
      <c r="D107" s="5" t="s">
        <v>12</v>
      </c>
      <c r="E107" s="4" t="s">
        <v>136</v>
      </c>
      <c r="F107" s="9" t="s">
        <v>140</v>
      </c>
      <c r="G107" s="12" t="n">
        <v>3</v>
      </c>
      <c r="H107" s="7" t="n">
        <v>9</v>
      </c>
      <c r="I107" s="13" t="n">
        <f aca="false">G107+H107</f>
        <v>12</v>
      </c>
      <c r="J107" s="3" t="str">
        <f aca="false">IF(H107=9,IF(G107=9,"즉시 착수",IF(G107=3,"표준화 병행","선결 과제")),IF(H107=3,IF(G107=1,"보류","2단계 확장"),IF(G107=1,"제외","여력 시 수집")))</f>
        <v>표준화 병행</v>
      </c>
    </row>
    <row r="108" customFormat="false" ht="15" hidden="false" customHeight="false" outlineLevel="0" collapsed="false">
      <c r="A108" s="3" t="n">
        <v>107</v>
      </c>
      <c r="B108" s="3" t="s">
        <v>127</v>
      </c>
      <c r="C108" s="4" t="s">
        <v>128</v>
      </c>
      <c r="D108" s="5" t="s">
        <v>12</v>
      </c>
      <c r="E108" s="4" t="s">
        <v>136</v>
      </c>
      <c r="F108" s="9" t="s">
        <v>141</v>
      </c>
      <c r="G108" s="12" t="n">
        <v>3</v>
      </c>
      <c r="H108" s="7" t="n">
        <v>9</v>
      </c>
      <c r="I108" s="13" t="n">
        <f aca="false">G108+H108</f>
        <v>12</v>
      </c>
      <c r="J108" s="3" t="str">
        <f aca="false">IF(H108=9,IF(G108=9,"즉시 착수",IF(G108=3,"표준화 병행","선결 과제")),IF(H108=3,IF(G108=1,"보류","2단계 확장"),IF(G108=1,"제외","여력 시 수집")))</f>
        <v>표준화 병행</v>
      </c>
    </row>
    <row r="109" customFormat="false" ht="15" hidden="false" customHeight="false" outlineLevel="0" collapsed="false">
      <c r="A109" s="3" t="n">
        <v>108</v>
      </c>
      <c r="B109" s="3" t="s">
        <v>127</v>
      </c>
      <c r="C109" s="4" t="s">
        <v>128</v>
      </c>
      <c r="D109" s="5" t="s">
        <v>12</v>
      </c>
      <c r="E109" s="4" t="s">
        <v>136</v>
      </c>
      <c r="F109" s="9" t="s">
        <v>142</v>
      </c>
      <c r="G109" s="12" t="n">
        <v>3</v>
      </c>
      <c r="H109" s="7" t="n">
        <v>9</v>
      </c>
      <c r="I109" s="13" t="n">
        <f aca="false">G109+H109</f>
        <v>12</v>
      </c>
      <c r="J109" s="3" t="str">
        <f aca="false">IF(H109=9,IF(G109=9,"즉시 착수",IF(G109=3,"표준화 병행","선결 과제")),IF(H109=3,IF(G109=1,"보류","2단계 확장"),IF(G109=1,"제외","여력 시 수집")))</f>
        <v>표준화 병행</v>
      </c>
    </row>
    <row r="110" customFormat="false" ht="15" hidden="false" customHeight="false" outlineLevel="0" collapsed="false">
      <c r="A110" s="3" t="n">
        <v>109</v>
      </c>
      <c r="B110" s="3" t="s">
        <v>127</v>
      </c>
      <c r="C110" s="4" t="s">
        <v>128</v>
      </c>
      <c r="D110" s="5" t="s">
        <v>12</v>
      </c>
      <c r="E110" s="4" t="s">
        <v>143</v>
      </c>
      <c r="F110" s="6" t="s">
        <v>144</v>
      </c>
      <c r="G110" s="10" t="n">
        <v>1</v>
      </c>
      <c r="H110" s="7" t="n">
        <v>9</v>
      </c>
      <c r="I110" s="11" t="n">
        <f aca="false">G110+H110</f>
        <v>10</v>
      </c>
      <c r="J110" s="3" t="str">
        <f aca="false">IF(H110=9,IF(G110=9,"즉시 착수",IF(G110=3,"표준화 병행","선결 과제")),IF(H110=3,IF(G110=1,"보류","2단계 확장"),IF(G110=1,"제외","여력 시 수집")))</f>
        <v>선결 과제</v>
      </c>
    </row>
    <row r="111" customFormat="false" ht="15" hidden="false" customHeight="false" outlineLevel="0" collapsed="false">
      <c r="A111" s="3" t="n">
        <v>110</v>
      </c>
      <c r="B111" s="3" t="s">
        <v>127</v>
      </c>
      <c r="C111" s="4" t="s">
        <v>128</v>
      </c>
      <c r="D111" s="5" t="s">
        <v>12</v>
      </c>
      <c r="E111" s="4" t="s">
        <v>143</v>
      </c>
      <c r="F111" s="9" t="s">
        <v>145</v>
      </c>
      <c r="G111" s="12" t="n">
        <v>3</v>
      </c>
      <c r="H111" s="7" t="n">
        <v>9</v>
      </c>
      <c r="I111" s="13" t="n">
        <f aca="false">G111+H111</f>
        <v>12</v>
      </c>
      <c r="J111" s="3" t="str">
        <f aca="false">IF(H111=9,IF(G111=9,"즉시 착수",IF(G111=3,"표준화 병행","선결 과제")),IF(H111=3,IF(G111=1,"보류","2단계 확장"),IF(G111=1,"제외","여력 시 수집")))</f>
        <v>표준화 병행</v>
      </c>
    </row>
    <row r="112" customFormat="false" ht="15" hidden="false" customHeight="false" outlineLevel="0" collapsed="false">
      <c r="A112" s="3" t="n">
        <v>111</v>
      </c>
      <c r="B112" s="3" t="s">
        <v>127</v>
      </c>
      <c r="C112" s="4" t="s">
        <v>128</v>
      </c>
      <c r="D112" s="5" t="s">
        <v>12</v>
      </c>
      <c r="E112" s="4" t="s">
        <v>143</v>
      </c>
      <c r="F112" s="9" t="s">
        <v>146</v>
      </c>
      <c r="G112" s="12" t="n">
        <v>3</v>
      </c>
      <c r="H112" s="7" t="n">
        <v>9</v>
      </c>
      <c r="I112" s="13" t="n">
        <f aca="false">G112+H112</f>
        <v>12</v>
      </c>
      <c r="J112" s="3" t="str">
        <f aca="false">IF(H112=9,IF(G112=9,"즉시 착수",IF(G112=3,"표준화 병행","선결 과제")),IF(H112=3,IF(G112=1,"보류","2단계 확장"),IF(G112=1,"제외","여력 시 수집")))</f>
        <v>표준화 병행</v>
      </c>
    </row>
    <row r="113" customFormat="false" ht="15" hidden="false" customHeight="false" outlineLevel="0" collapsed="false">
      <c r="A113" s="3" t="n">
        <v>112</v>
      </c>
      <c r="B113" s="3" t="s">
        <v>127</v>
      </c>
      <c r="C113" s="4" t="s">
        <v>128</v>
      </c>
      <c r="D113" s="5" t="s">
        <v>12</v>
      </c>
      <c r="E113" s="4" t="s">
        <v>143</v>
      </c>
      <c r="F113" s="9" t="s">
        <v>147</v>
      </c>
      <c r="G113" s="12" t="n">
        <v>3</v>
      </c>
      <c r="H113" s="7" t="n">
        <v>9</v>
      </c>
      <c r="I113" s="13" t="n">
        <f aca="false">G113+H113</f>
        <v>12</v>
      </c>
      <c r="J113" s="3" t="str">
        <f aca="false">IF(H113=9,IF(G113=9,"즉시 착수",IF(G113=3,"표준화 병행","선결 과제")),IF(H113=3,IF(G113=1,"보류","2단계 확장"),IF(G113=1,"제외","여력 시 수집")))</f>
        <v>표준화 병행</v>
      </c>
    </row>
    <row r="114" customFormat="false" ht="15" hidden="false" customHeight="false" outlineLevel="0" collapsed="false">
      <c r="A114" s="3" t="n">
        <v>113</v>
      </c>
      <c r="B114" s="3" t="s">
        <v>127</v>
      </c>
      <c r="C114" s="4" t="s">
        <v>128</v>
      </c>
      <c r="D114" s="5" t="s">
        <v>12</v>
      </c>
      <c r="E114" s="4" t="s">
        <v>143</v>
      </c>
      <c r="F114" s="9" t="s">
        <v>148</v>
      </c>
      <c r="G114" s="12" t="n">
        <v>3</v>
      </c>
      <c r="H114" s="7" t="n">
        <v>9</v>
      </c>
      <c r="I114" s="13" t="n">
        <f aca="false">G114+H114</f>
        <v>12</v>
      </c>
      <c r="J114" s="3" t="str">
        <f aca="false">IF(H114=9,IF(G114=9,"즉시 착수",IF(G114=3,"표준화 병행","선결 과제")),IF(H114=3,IF(G114=1,"보류","2단계 확장"),IF(G114=1,"제외","여력 시 수집")))</f>
        <v>표준화 병행</v>
      </c>
    </row>
    <row r="115" customFormat="false" ht="15" hidden="false" customHeight="false" outlineLevel="0" collapsed="false">
      <c r="A115" s="3" t="n">
        <v>114</v>
      </c>
      <c r="B115" s="3" t="s">
        <v>127</v>
      </c>
      <c r="C115" s="4" t="s">
        <v>128</v>
      </c>
      <c r="D115" s="5" t="s">
        <v>12</v>
      </c>
      <c r="E115" s="4" t="s">
        <v>143</v>
      </c>
      <c r="F115" s="9" t="s">
        <v>149</v>
      </c>
      <c r="G115" s="12" t="n">
        <v>3</v>
      </c>
      <c r="H115" s="7" t="n">
        <v>9</v>
      </c>
      <c r="I115" s="13" t="n">
        <f aca="false">G115+H115</f>
        <v>12</v>
      </c>
      <c r="J115" s="3" t="str">
        <f aca="false">IF(H115=9,IF(G115=9,"즉시 착수",IF(G115=3,"표준화 병행","선결 과제")),IF(H115=3,IF(G115=1,"보류","2단계 확장"),IF(G115=1,"제외","여력 시 수집")))</f>
        <v>표준화 병행</v>
      </c>
    </row>
    <row r="116" customFormat="false" ht="15" hidden="false" customHeight="false" outlineLevel="0" collapsed="false">
      <c r="A116" s="3" t="n">
        <v>115</v>
      </c>
      <c r="B116" s="3" t="s">
        <v>127</v>
      </c>
      <c r="C116" s="4" t="s">
        <v>128</v>
      </c>
      <c r="D116" s="5" t="s">
        <v>12</v>
      </c>
      <c r="E116" s="4" t="s">
        <v>150</v>
      </c>
      <c r="F116" s="9" t="s">
        <v>151</v>
      </c>
      <c r="G116" s="10" t="n">
        <v>1</v>
      </c>
      <c r="H116" s="7" t="n">
        <v>9</v>
      </c>
      <c r="I116" s="11" t="n">
        <f aca="false">G116+H116</f>
        <v>10</v>
      </c>
      <c r="J116" s="3" t="str">
        <f aca="false">IF(H116=9,IF(G116=9,"즉시 착수",IF(G116=3,"표준화 병행","선결 과제")),IF(H116=3,IF(G116=1,"보류","2단계 확장"),IF(G116=1,"제외","여력 시 수집")))</f>
        <v>선결 과제</v>
      </c>
    </row>
    <row r="117" customFormat="false" ht="15" hidden="false" customHeight="false" outlineLevel="0" collapsed="false">
      <c r="A117" s="3" t="n">
        <v>116</v>
      </c>
      <c r="B117" s="3" t="s">
        <v>127</v>
      </c>
      <c r="C117" s="4" t="s">
        <v>128</v>
      </c>
      <c r="D117" s="5" t="s">
        <v>12</v>
      </c>
      <c r="E117" s="4" t="s">
        <v>150</v>
      </c>
      <c r="F117" s="9" t="s">
        <v>152</v>
      </c>
      <c r="G117" s="12" t="n">
        <v>3</v>
      </c>
      <c r="H117" s="12" t="n">
        <v>3</v>
      </c>
      <c r="I117" s="15" t="n">
        <f aca="false">G117+H117</f>
        <v>6</v>
      </c>
      <c r="J117" s="3" t="str">
        <f aca="false">IF(H117=9,IF(G117=9,"즉시 착수",IF(G117=3,"표준화 병행","선결 과제")),IF(H117=3,IF(G117=1,"보류","2단계 확장"),IF(G117=1,"제외","여력 시 수집")))</f>
        <v>2단계 확장</v>
      </c>
    </row>
    <row r="118" customFormat="false" ht="15" hidden="false" customHeight="false" outlineLevel="0" collapsed="false">
      <c r="A118" s="3" t="n">
        <v>117</v>
      </c>
      <c r="B118" s="3" t="s">
        <v>127</v>
      </c>
      <c r="C118" s="4" t="s">
        <v>128</v>
      </c>
      <c r="D118" s="5" t="s">
        <v>12</v>
      </c>
      <c r="E118" s="4" t="s">
        <v>150</v>
      </c>
      <c r="F118" s="9" t="s">
        <v>153</v>
      </c>
      <c r="G118" s="10" t="n">
        <v>1</v>
      </c>
      <c r="H118" s="7" t="n">
        <v>9</v>
      </c>
      <c r="I118" s="11" t="n">
        <f aca="false">G118+H118</f>
        <v>10</v>
      </c>
      <c r="J118" s="3" t="str">
        <f aca="false">IF(H118=9,IF(G118=9,"즉시 착수",IF(G118=3,"표준화 병행","선결 과제")),IF(H118=3,IF(G118=1,"보류","2단계 확장"),IF(G118=1,"제외","여력 시 수집")))</f>
        <v>선결 과제</v>
      </c>
    </row>
    <row r="119" customFormat="false" ht="15" hidden="false" customHeight="false" outlineLevel="0" collapsed="false">
      <c r="A119" s="3" t="n">
        <v>118</v>
      </c>
      <c r="B119" s="3" t="s">
        <v>127</v>
      </c>
      <c r="C119" s="4" t="s">
        <v>128</v>
      </c>
      <c r="D119" s="5" t="s">
        <v>12</v>
      </c>
      <c r="E119" s="4" t="s">
        <v>150</v>
      </c>
      <c r="F119" s="9" t="s">
        <v>154</v>
      </c>
      <c r="G119" s="10" t="n">
        <v>1</v>
      </c>
      <c r="H119" s="7" t="n">
        <v>9</v>
      </c>
      <c r="I119" s="11" t="n">
        <f aca="false">G119+H119</f>
        <v>10</v>
      </c>
      <c r="J119" s="3" t="str">
        <f aca="false">IF(H119=9,IF(G119=9,"즉시 착수",IF(G119=3,"표준화 병행","선결 과제")),IF(H119=3,IF(G119=1,"보류","2단계 확장"),IF(G119=1,"제외","여력 시 수집")))</f>
        <v>선결 과제</v>
      </c>
    </row>
    <row r="120" customFormat="false" ht="15" hidden="false" customHeight="false" outlineLevel="0" collapsed="false">
      <c r="A120" s="3" t="n">
        <v>119</v>
      </c>
      <c r="B120" s="3" t="s">
        <v>127</v>
      </c>
      <c r="C120" s="4" t="s">
        <v>128</v>
      </c>
      <c r="D120" s="5" t="s">
        <v>12</v>
      </c>
      <c r="E120" s="4" t="s">
        <v>150</v>
      </c>
      <c r="F120" s="9" t="s">
        <v>155</v>
      </c>
      <c r="G120" s="10" t="n">
        <v>1</v>
      </c>
      <c r="H120" s="7" t="n">
        <v>9</v>
      </c>
      <c r="I120" s="11" t="n">
        <f aca="false">G120+H120</f>
        <v>10</v>
      </c>
      <c r="J120" s="3" t="str">
        <f aca="false">IF(H120=9,IF(G120=9,"즉시 착수",IF(G120=3,"표준화 병행","선결 과제")),IF(H120=3,IF(G120=1,"보류","2단계 확장"),IF(G120=1,"제외","여력 시 수집")))</f>
        <v>선결 과제</v>
      </c>
    </row>
    <row r="121" customFormat="false" ht="15" hidden="false" customHeight="false" outlineLevel="0" collapsed="false">
      <c r="A121" s="3" t="n">
        <v>120</v>
      </c>
      <c r="B121" s="3" t="s">
        <v>127</v>
      </c>
      <c r="C121" s="4" t="s">
        <v>128</v>
      </c>
      <c r="D121" s="5" t="s">
        <v>12</v>
      </c>
      <c r="E121" s="4" t="s">
        <v>150</v>
      </c>
      <c r="F121" s="9" t="s">
        <v>156</v>
      </c>
      <c r="G121" s="10" t="n">
        <v>1</v>
      </c>
      <c r="H121" s="7" t="n">
        <v>9</v>
      </c>
      <c r="I121" s="11" t="n">
        <f aca="false">G121+H121</f>
        <v>10</v>
      </c>
      <c r="J121" s="3" t="str">
        <f aca="false">IF(H121=9,IF(G121=9,"즉시 착수",IF(G121=3,"표준화 병행","선결 과제")),IF(H121=3,IF(G121=1,"보류","2단계 확장"),IF(G121=1,"제외","여력 시 수집")))</f>
        <v>선결 과제</v>
      </c>
    </row>
    <row r="122" customFormat="false" ht="15" hidden="false" customHeight="false" outlineLevel="0" collapsed="false">
      <c r="A122" s="3" t="n">
        <v>121</v>
      </c>
      <c r="B122" s="3" t="s">
        <v>127</v>
      </c>
      <c r="C122" s="4" t="s">
        <v>128</v>
      </c>
      <c r="D122" s="5" t="s">
        <v>12</v>
      </c>
      <c r="E122" s="4" t="s">
        <v>157</v>
      </c>
      <c r="F122" s="9" t="s">
        <v>158</v>
      </c>
      <c r="G122" s="10" t="n">
        <v>1</v>
      </c>
      <c r="H122" s="12" t="n">
        <v>3</v>
      </c>
      <c r="I122" s="14" t="n">
        <f aca="false">G122+H122</f>
        <v>4</v>
      </c>
      <c r="J122" s="3" t="str">
        <f aca="false">IF(H122=9,IF(G122=9,"즉시 착수",IF(G122=3,"표준화 병행","선결 과제")),IF(H122=3,IF(G122=1,"보류","2단계 확장"),IF(G122=1,"제외","여력 시 수집")))</f>
        <v>보류</v>
      </c>
    </row>
    <row r="123" customFormat="false" ht="15" hidden="false" customHeight="false" outlineLevel="0" collapsed="false">
      <c r="A123" s="3" t="n">
        <v>122</v>
      </c>
      <c r="B123" s="3" t="s">
        <v>127</v>
      </c>
      <c r="C123" s="4" t="s">
        <v>128</v>
      </c>
      <c r="D123" s="5" t="s">
        <v>12</v>
      </c>
      <c r="E123" s="4" t="s">
        <v>157</v>
      </c>
      <c r="F123" s="9" t="s">
        <v>159</v>
      </c>
      <c r="G123" s="10" t="n">
        <v>1</v>
      </c>
      <c r="H123" s="12" t="n">
        <v>3</v>
      </c>
      <c r="I123" s="14" t="n">
        <f aca="false">G123+H123</f>
        <v>4</v>
      </c>
      <c r="J123" s="3" t="str">
        <f aca="false">IF(H123=9,IF(G123=9,"즉시 착수",IF(G123=3,"표준화 병행","선결 과제")),IF(H123=3,IF(G123=1,"보류","2단계 확장"),IF(G123=1,"제외","여력 시 수집")))</f>
        <v>보류</v>
      </c>
    </row>
    <row r="124" customFormat="false" ht="15" hidden="false" customHeight="false" outlineLevel="0" collapsed="false">
      <c r="A124" s="3" t="n">
        <v>123</v>
      </c>
      <c r="B124" s="3" t="s">
        <v>127</v>
      </c>
      <c r="C124" s="4" t="s">
        <v>128</v>
      </c>
      <c r="D124" s="5" t="s">
        <v>12</v>
      </c>
      <c r="E124" s="4" t="s">
        <v>157</v>
      </c>
      <c r="F124" s="9" t="s">
        <v>160</v>
      </c>
      <c r="G124" s="10" t="n">
        <v>1</v>
      </c>
      <c r="H124" s="12" t="n">
        <v>3</v>
      </c>
      <c r="I124" s="14" t="n">
        <f aca="false">G124+H124</f>
        <v>4</v>
      </c>
      <c r="J124" s="3" t="str">
        <f aca="false">IF(H124=9,IF(G124=9,"즉시 착수",IF(G124=3,"표준화 병행","선결 과제")),IF(H124=3,IF(G124=1,"보류","2단계 확장"),IF(G124=1,"제외","여력 시 수집")))</f>
        <v>보류</v>
      </c>
    </row>
    <row r="125" customFormat="false" ht="15" hidden="false" customHeight="false" outlineLevel="0" collapsed="false">
      <c r="A125" s="3" t="n">
        <v>124</v>
      </c>
      <c r="B125" s="3" t="s">
        <v>127</v>
      </c>
      <c r="C125" s="4" t="s">
        <v>128</v>
      </c>
      <c r="D125" s="5" t="s">
        <v>12</v>
      </c>
      <c r="E125" s="4" t="s">
        <v>157</v>
      </c>
      <c r="F125" s="9" t="s">
        <v>161</v>
      </c>
      <c r="G125" s="10" t="n">
        <v>1</v>
      </c>
      <c r="H125" s="12" t="n">
        <v>3</v>
      </c>
      <c r="I125" s="14" t="n">
        <f aca="false">G125+H125</f>
        <v>4</v>
      </c>
      <c r="J125" s="3" t="str">
        <f aca="false">IF(H125=9,IF(G125=9,"즉시 착수",IF(G125=3,"표준화 병행","선결 과제")),IF(H125=3,IF(G125=1,"보류","2단계 확장"),IF(G125=1,"제외","여력 시 수집")))</f>
        <v>보류</v>
      </c>
    </row>
    <row r="126" customFormat="false" ht="15" hidden="false" customHeight="false" outlineLevel="0" collapsed="false">
      <c r="A126" s="3" t="n">
        <v>125</v>
      </c>
      <c r="B126" s="3" t="s">
        <v>127</v>
      </c>
      <c r="C126" s="4" t="s">
        <v>128</v>
      </c>
      <c r="D126" s="5" t="s">
        <v>12</v>
      </c>
      <c r="E126" s="4" t="s">
        <v>157</v>
      </c>
      <c r="F126" s="9" t="s">
        <v>162</v>
      </c>
      <c r="G126" s="10" t="n">
        <v>1</v>
      </c>
      <c r="H126" s="12" t="n">
        <v>3</v>
      </c>
      <c r="I126" s="14" t="n">
        <f aca="false">G126+H126</f>
        <v>4</v>
      </c>
      <c r="J126" s="3" t="str">
        <f aca="false">IF(H126=9,IF(G126=9,"즉시 착수",IF(G126=3,"표준화 병행","선결 과제")),IF(H126=3,IF(G126=1,"보류","2단계 확장"),IF(G126=1,"제외","여력 시 수집")))</f>
        <v>보류</v>
      </c>
    </row>
    <row r="127" customFormat="false" ht="15" hidden="false" customHeight="false" outlineLevel="0" collapsed="false">
      <c r="A127" s="3" t="n">
        <v>126</v>
      </c>
      <c r="B127" s="3" t="s">
        <v>127</v>
      </c>
      <c r="C127" s="4" t="s">
        <v>128</v>
      </c>
      <c r="D127" s="5" t="s">
        <v>12</v>
      </c>
      <c r="E127" s="4" t="s">
        <v>157</v>
      </c>
      <c r="F127" s="9" t="s">
        <v>163</v>
      </c>
      <c r="G127" s="10" t="n">
        <v>1</v>
      </c>
      <c r="H127" s="12" t="n">
        <v>3</v>
      </c>
      <c r="I127" s="14" t="n">
        <f aca="false">G127+H127</f>
        <v>4</v>
      </c>
      <c r="J127" s="3" t="str">
        <f aca="false">IF(H127=9,IF(G127=9,"즉시 착수",IF(G127=3,"표준화 병행","선결 과제")),IF(H127=3,IF(G127=1,"보류","2단계 확장"),IF(G127=1,"제외","여력 시 수집")))</f>
        <v>보류</v>
      </c>
    </row>
    <row r="128" customFormat="false" ht="15" hidden="false" customHeight="false" outlineLevel="0" collapsed="false">
      <c r="A128" s="3" t="n">
        <v>127</v>
      </c>
      <c r="B128" s="3" t="s">
        <v>127</v>
      </c>
      <c r="C128" s="4" t="s">
        <v>128</v>
      </c>
      <c r="D128" s="5" t="s">
        <v>12</v>
      </c>
      <c r="E128" s="4" t="s">
        <v>164</v>
      </c>
      <c r="F128" s="9" t="s">
        <v>165</v>
      </c>
      <c r="G128" s="10" t="n">
        <v>1</v>
      </c>
      <c r="H128" s="12" t="n">
        <v>3</v>
      </c>
      <c r="I128" s="14" t="n">
        <f aca="false">G128+H128</f>
        <v>4</v>
      </c>
      <c r="J128" s="3" t="str">
        <f aca="false">IF(H128=9,IF(G128=9,"즉시 착수",IF(G128=3,"표준화 병행","선결 과제")),IF(H128=3,IF(G128=1,"보류","2단계 확장"),IF(G128=1,"제외","여력 시 수집")))</f>
        <v>보류</v>
      </c>
    </row>
    <row r="129" customFormat="false" ht="15" hidden="false" customHeight="false" outlineLevel="0" collapsed="false">
      <c r="A129" s="3" t="n">
        <v>128</v>
      </c>
      <c r="B129" s="3" t="s">
        <v>127</v>
      </c>
      <c r="C129" s="4" t="s">
        <v>128</v>
      </c>
      <c r="D129" s="5" t="s">
        <v>12</v>
      </c>
      <c r="E129" s="4" t="s">
        <v>164</v>
      </c>
      <c r="F129" s="9" t="s">
        <v>166</v>
      </c>
      <c r="G129" s="10" t="n">
        <v>1</v>
      </c>
      <c r="H129" s="12" t="n">
        <v>3</v>
      </c>
      <c r="I129" s="14" t="n">
        <f aca="false">G129+H129</f>
        <v>4</v>
      </c>
      <c r="J129" s="3" t="str">
        <f aca="false">IF(H129=9,IF(G129=9,"즉시 착수",IF(G129=3,"표준화 병행","선결 과제")),IF(H129=3,IF(G129=1,"보류","2단계 확장"),IF(G129=1,"제외","여력 시 수집")))</f>
        <v>보류</v>
      </c>
    </row>
    <row r="130" customFormat="false" ht="15" hidden="false" customHeight="false" outlineLevel="0" collapsed="false">
      <c r="A130" s="3" t="n">
        <v>129</v>
      </c>
      <c r="B130" s="3" t="s">
        <v>127</v>
      </c>
      <c r="C130" s="4" t="s">
        <v>128</v>
      </c>
      <c r="D130" s="5" t="s">
        <v>12</v>
      </c>
      <c r="E130" s="4" t="s">
        <v>164</v>
      </c>
      <c r="F130" s="9" t="s">
        <v>167</v>
      </c>
      <c r="G130" s="10" t="n">
        <v>1</v>
      </c>
      <c r="H130" s="10" t="n">
        <v>1</v>
      </c>
      <c r="I130" s="16" t="n">
        <f aca="false">G130+H130</f>
        <v>2</v>
      </c>
      <c r="J130" s="3" t="str">
        <f aca="false">IF(H130=9,IF(G130=9,"즉시 착수",IF(G130=3,"표준화 병행","선결 과제")),IF(H130=3,IF(G130=1,"보류","2단계 확장"),IF(G130=1,"제외","여력 시 수집")))</f>
        <v>제외</v>
      </c>
    </row>
    <row r="131" customFormat="false" ht="15" hidden="false" customHeight="false" outlineLevel="0" collapsed="false">
      <c r="A131" s="3" t="n">
        <v>130</v>
      </c>
      <c r="B131" s="3" t="s">
        <v>127</v>
      </c>
      <c r="C131" s="4" t="s">
        <v>128</v>
      </c>
      <c r="D131" s="5" t="s">
        <v>12</v>
      </c>
      <c r="E131" s="4" t="s">
        <v>164</v>
      </c>
      <c r="F131" s="9" t="s">
        <v>168</v>
      </c>
      <c r="G131" s="10" t="n">
        <v>1</v>
      </c>
      <c r="H131" s="12" t="n">
        <v>3</v>
      </c>
      <c r="I131" s="14" t="n">
        <f aca="false">G131+H131</f>
        <v>4</v>
      </c>
      <c r="J131" s="3" t="str">
        <f aca="false">IF(H131=9,IF(G131=9,"즉시 착수",IF(G131=3,"표준화 병행","선결 과제")),IF(H131=3,IF(G131=1,"보류","2단계 확장"),IF(G131=1,"제외","여력 시 수집")))</f>
        <v>보류</v>
      </c>
    </row>
    <row r="132" customFormat="false" ht="15" hidden="false" customHeight="false" outlineLevel="0" collapsed="false">
      <c r="A132" s="3" t="n">
        <v>131</v>
      </c>
      <c r="B132" s="3" t="s">
        <v>127</v>
      </c>
      <c r="C132" s="4" t="s">
        <v>128</v>
      </c>
      <c r="D132" s="5" t="s">
        <v>12</v>
      </c>
      <c r="E132" s="4" t="s">
        <v>164</v>
      </c>
      <c r="F132" s="9" t="s">
        <v>169</v>
      </c>
      <c r="G132" s="10" t="n">
        <v>1</v>
      </c>
      <c r="H132" s="12" t="n">
        <v>3</v>
      </c>
      <c r="I132" s="14" t="n">
        <f aca="false">G132+H132</f>
        <v>4</v>
      </c>
      <c r="J132" s="3" t="str">
        <f aca="false">IF(H132=9,IF(G132=9,"즉시 착수",IF(G132=3,"표준화 병행","선결 과제")),IF(H132=3,IF(G132=1,"보류","2단계 확장"),IF(G132=1,"제외","여력 시 수집")))</f>
        <v>보류</v>
      </c>
    </row>
    <row r="133" customFormat="false" ht="15" hidden="false" customHeight="false" outlineLevel="0" collapsed="false">
      <c r="A133" s="3" t="n">
        <v>132</v>
      </c>
      <c r="B133" s="3" t="s">
        <v>127</v>
      </c>
      <c r="C133" s="4" t="s">
        <v>128</v>
      </c>
      <c r="D133" s="5" t="s">
        <v>12</v>
      </c>
      <c r="E133" s="4" t="s">
        <v>164</v>
      </c>
      <c r="F133" s="9" t="s">
        <v>170</v>
      </c>
      <c r="G133" s="10" t="n">
        <v>1</v>
      </c>
      <c r="H133" s="12" t="n">
        <v>3</v>
      </c>
      <c r="I133" s="14" t="n">
        <f aca="false">G133+H133</f>
        <v>4</v>
      </c>
      <c r="J133" s="3" t="str">
        <f aca="false">IF(H133=9,IF(G133=9,"즉시 착수",IF(G133=3,"표준화 병행","선결 과제")),IF(H133=3,IF(G133=1,"보류","2단계 확장"),IF(G133=1,"제외","여력 시 수집")))</f>
        <v>보류</v>
      </c>
    </row>
    <row r="134" customFormat="false" ht="15" hidden="false" customHeight="false" outlineLevel="0" collapsed="false">
      <c r="A134" s="3" t="n">
        <v>133</v>
      </c>
      <c r="B134" s="3" t="s">
        <v>127</v>
      </c>
      <c r="C134" s="4" t="s">
        <v>128</v>
      </c>
      <c r="D134" s="5" t="s">
        <v>12</v>
      </c>
      <c r="E134" s="4" t="s">
        <v>171</v>
      </c>
      <c r="F134" s="9" t="s">
        <v>172</v>
      </c>
      <c r="G134" s="12" t="n">
        <v>3</v>
      </c>
      <c r="H134" s="12" t="n">
        <v>3</v>
      </c>
      <c r="I134" s="15" t="n">
        <f aca="false">G134+H134</f>
        <v>6</v>
      </c>
      <c r="J134" s="3" t="str">
        <f aca="false">IF(H134=9,IF(G134=9,"즉시 착수",IF(G134=3,"표준화 병행","선결 과제")),IF(H134=3,IF(G134=1,"보류","2단계 확장"),IF(G134=1,"제외","여력 시 수집")))</f>
        <v>2단계 확장</v>
      </c>
    </row>
    <row r="135" customFormat="false" ht="15" hidden="false" customHeight="false" outlineLevel="0" collapsed="false">
      <c r="A135" s="3" t="n">
        <v>134</v>
      </c>
      <c r="B135" s="3" t="s">
        <v>127</v>
      </c>
      <c r="C135" s="4" t="s">
        <v>128</v>
      </c>
      <c r="D135" s="5" t="s">
        <v>12</v>
      </c>
      <c r="E135" s="4" t="s">
        <v>171</v>
      </c>
      <c r="F135" s="9" t="s">
        <v>173</v>
      </c>
      <c r="G135" s="12" t="n">
        <v>3</v>
      </c>
      <c r="H135" s="12" t="n">
        <v>3</v>
      </c>
      <c r="I135" s="15" t="n">
        <f aca="false">G135+H135</f>
        <v>6</v>
      </c>
      <c r="J135" s="3" t="str">
        <f aca="false">IF(H135=9,IF(G135=9,"즉시 착수",IF(G135=3,"표준화 병행","선결 과제")),IF(H135=3,IF(G135=1,"보류","2단계 확장"),IF(G135=1,"제외","여력 시 수집")))</f>
        <v>2단계 확장</v>
      </c>
    </row>
    <row r="136" customFormat="false" ht="15" hidden="false" customHeight="false" outlineLevel="0" collapsed="false">
      <c r="A136" s="3" t="n">
        <v>135</v>
      </c>
      <c r="B136" s="3" t="s">
        <v>127</v>
      </c>
      <c r="C136" s="4" t="s">
        <v>128</v>
      </c>
      <c r="D136" s="5" t="s">
        <v>12</v>
      </c>
      <c r="E136" s="4" t="s">
        <v>171</v>
      </c>
      <c r="F136" s="9" t="s">
        <v>174</v>
      </c>
      <c r="G136" s="12" t="n">
        <v>3</v>
      </c>
      <c r="H136" s="12" t="n">
        <v>3</v>
      </c>
      <c r="I136" s="15" t="n">
        <f aca="false">G136+H136</f>
        <v>6</v>
      </c>
      <c r="J136" s="3" t="str">
        <f aca="false">IF(H136=9,IF(G136=9,"즉시 착수",IF(G136=3,"표준화 병행","선결 과제")),IF(H136=3,IF(G136=1,"보류","2단계 확장"),IF(G136=1,"제외","여력 시 수집")))</f>
        <v>2단계 확장</v>
      </c>
    </row>
    <row r="137" customFormat="false" ht="15" hidden="false" customHeight="false" outlineLevel="0" collapsed="false">
      <c r="A137" s="3" t="n">
        <v>136</v>
      </c>
      <c r="B137" s="3" t="s">
        <v>127</v>
      </c>
      <c r="C137" s="4" t="s">
        <v>128</v>
      </c>
      <c r="D137" s="5" t="s">
        <v>12</v>
      </c>
      <c r="E137" s="4" t="s">
        <v>171</v>
      </c>
      <c r="F137" s="9" t="s">
        <v>175</v>
      </c>
      <c r="G137" s="12" t="n">
        <v>3</v>
      </c>
      <c r="H137" s="12" t="n">
        <v>3</v>
      </c>
      <c r="I137" s="15" t="n">
        <f aca="false">G137+H137</f>
        <v>6</v>
      </c>
      <c r="J137" s="3" t="str">
        <f aca="false">IF(H137=9,IF(G137=9,"즉시 착수",IF(G137=3,"표준화 병행","선결 과제")),IF(H137=3,IF(G137=1,"보류","2단계 확장"),IF(G137=1,"제외","여력 시 수집")))</f>
        <v>2단계 확장</v>
      </c>
    </row>
    <row r="138" customFormat="false" ht="15" hidden="false" customHeight="false" outlineLevel="0" collapsed="false">
      <c r="A138" s="3" t="n">
        <v>137</v>
      </c>
      <c r="B138" s="3" t="s">
        <v>127</v>
      </c>
      <c r="C138" s="4" t="s">
        <v>128</v>
      </c>
      <c r="D138" s="5" t="s">
        <v>12</v>
      </c>
      <c r="E138" s="4" t="s">
        <v>171</v>
      </c>
      <c r="F138" s="9" t="s">
        <v>176</v>
      </c>
      <c r="G138" s="12" t="n">
        <v>3</v>
      </c>
      <c r="H138" s="10" t="n">
        <v>1</v>
      </c>
      <c r="I138" s="14" t="n">
        <f aca="false">G138+H138</f>
        <v>4</v>
      </c>
      <c r="J138" s="3" t="str">
        <f aca="false">IF(H138=9,IF(G138=9,"즉시 착수",IF(G138=3,"표준화 병행","선결 과제")),IF(H138=3,IF(G138=1,"보류","2단계 확장"),IF(G138=1,"제외","여력 시 수집")))</f>
        <v>여력 시 수집</v>
      </c>
    </row>
    <row r="139" customFormat="false" ht="15" hidden="false" customHeight="false" outlineLevel="0" collapsed="false">
      <c r="A139" s="3" t="n">
        <v>138</v>
      </c>
      <c r="B139" s="3" t="s">
        <v>127</v>
      </c>
      <c r="C139" s="4" t="s">
        <v>128</v>
      </c>
      <c r="D139" s="5" t="s">
        <v>12</v>
      </c>
      <c r="E139" s="4" t="s">
        <v>171</v>
      </c>
      <c r="F139" s="9" t="s">
        <v>177</v>
      </c>
      <c r="G139" s="7" t="n">
        <v>9</v>
      </c>
      <c r="H139" s="10" t="n">
        <v>1</v>
      </c>
      <c r="I139" s="11" t="n">
        <f aca="false">G139+H139</f>
        <v>10</v>
      </c>
      <c r="J139" s="3" t="str">
        <f aca="false">IF(H139=9,IF(G139=9,"즉시 착수",IF(G139=3,"표준화 병행","선결 과제")),IF(H139=3,IF(G139=1,"보류","2단계 확장"),IF(G139=1,"제외","여력 시 수집")))</f>
        <v>여력 시 수집</v>
      </c>
    </row>
    <row r="140" customFormat="false" ht="15" hidden="false" customHeight="false" outlineLevel="0" collapsed="false">
      <c r="A140" s="3" t="n">
        <v>139</v>
      </c>
      <c r="B140" s="3" t="s">
        <v>127</v>
      </c>
      <c r="C140" s="4" t="s">
        <v>128</v>
      </c>
      <c r="D140" s="5" t="s">
        <v>12</v>
      </c>
      <c r="E140" s="4" t="s">
        <v>178</v>
      </c>
      <c r="F140" s="6" t="s">
        <v>179</v>
      </c>
      <c r="G140" s="12" t="n">
        <v>3</v>
      </c>
      <c r="H140" s="12" t="n">
        <v>3</v>
      </c>
      <c r="I140" s="15" t="n">
        <f aca="false">G140+H140</f>
        <v>6</v>
      </c>
      <c r="J140" s="3" t="str">
        <f aca="false">IF(H140=9,IF(G140=9,"즉시 착수",IF(G140=3,"표준화 병행","선결 과제")),IF(H140=3,IF(G140=1,"보류","2단계 확장"),IF(G140=1,"제외","여력 시 수집")))</f>
        <v>2단계 확장</v>
      </c>
    </row>
    <row r="141" customFormat="false" ht="15" hidden="false" customHeight="false" outlineLevel="0" collapsed="false">
      <c r="A141" s="3" t="n">
        <v>140</v>
      </c>
      <c r="B141" s="3" t="s">
        <v>127</v>
      </c>
      <c r="C141" s="4" t="s">
        <v>128</v>
      </c>
      <c r="D141" s="5" t="s">
        <v>12</v>
      </c>
      <c r="E141" s="4" t="s">
        <v>178</v>
      </c>
      <c r="F141" s="9" t="s">
        <v>180</v>
      </c>
      <c r="G141" s="10" t="n">
        <v>1</v>
      </c>
      <c r="H141" s="7" t="n">
        <v>9</v>
      </c>
      <c r="I141" s="11" t="n">
        <f aca="false">G141+H141</f>
        <v>10</v>
      </c>
      <c r="J141" s="3" t="str">
        <f aca="false">IF(H141=9,IF(G141=9,"즉시 착수",IF(G141=3,"표준화 병행","선결 과제")),IF(H141=3,IF(G141=1,"보류","2단계 확장"),IF(G141=1,"제외","여력 시 수집")))</f>
        <v>선결 과제</v>
      </c>
    </row>
    <row r="142" customFormat="false" ht="15" hidden="false" customHeight="false" outlineLevel="0" collapsed="false">
      <c r="A142" s="3" t="n">
        <v>141</v>
      </c>
      <c r="B142" s="3" t="s">
        <v>127</v>
      </c>
      <c r="C142" s="4" t="s">
        <v>128</v>
      </c>
      <c r="D142" s="5" t="s">
        <v>12</v>
      </c>
      <c r="E142" s="4" t="s">
        <v>178</v>
      </c>
      <c r="F142" s="9" t="s">
        <v>181</v>
      </c>
      <c r="G142" s="12" t="n">
        <v>3</v>
      </c>
      <c r="H142" s="7" t="n">
        <v>9</v>
      </c>
      <c r="I142" s="13" t="n">
        <f aca="false">G142+H142</f>
        <v>12</v>
      </c>
      <c r="J142" s="3" t="str">
        <f aca="false">IF(H142=9,IF(G142=9,"즉시 착수",IF(G142=3,"표준화 병행","선결 과제")),IF(H142=3,IF(G142=1,"보류","2단계 확장"),IF(G142=1,"제외","여력 시 수집")))</f>
        <v>표준화 병행</v>
      </c>
    </row>
    <row r="143" customFormat="false" ht="15" hidden="false" customHeight="false" outlineLevel="0" collapsed="false">
      <c r="A143" s="3" t="n">
        <v>142</v>
      </c>
      <c r="B143" s="3" t="s">
        <v>127</v>
      </c>
      <c r="C143" s="4" t="s">
        <v>128</v>
      </c>
      <c r="D143" s="5" t="s">
        <v>12</v>
      </c>
      <c r="E143" s="4" t="s">
        <v>178</v>
      </c>
      <c r="F143" s="9" t="s">
        <v>182</v>
      </c>
      <c r="G143" s="12" t="n">
        <v>3</v>
      </c>
      <c r="H143" s="12" t="n">
        <v>3</v>
      </c>
      <c r="I143" s="15" t="n">
        <f aca="false">G143+H143</f>
        <v>6</v>
      </c>
      <c r="J143" s="3" t="str">
        <f aca="false">IF(H143=9,IF(G143=9,"즉시 착수",IF(G143=3,"표준화 병행","선결 과제")),IF(H143=3,IF(G143=1,"보류","2단계 확장"),IF(G143=1,"제외","여력 시 수집")))</f>
        <v>2단계 확장</v>
      </c>
    </row>
    <row r="144" customFormat="false" ht="15" hidden="false" customHeight="false" outlineLevel="0" collapsed="false">
      <c r="A144" s="3" t="n">
        <v>143</v>
      </c>
      <c r="B144" s="3" t="s">
        <v>127</v>
      </c>
      <c r="C144" s="4" t="s">
        <v>128</v>
      </c>
      <c r="D144" s="5" t="s">
        <v>12</v>
      </c>
      <c r="E144" s="4" t="s">
        <v>178</v>
      </c>
      <c r="F144" s="9" t="s">
        <v>183</v>
      </c>
      <c r="G144" s="12" t="n">
        <v>3</v>
      </c>
      <c r="H144" s="12" t="n">
        <v>3</v>
      </c>
      <c r="I144" s="15" t="n">
        <f aca="false">G144+H144</f>
        <v>6</v>
      </c>
      <c r="J144" s="3" t="str">
        <f aca="false">IF(H144=9,IF(G144=9,"즉시 착수",IF(G144=3,"표준화 병행","선결 과제")),IF(H144=3,IF(G144=1,"보류","2단계 확장"),IF(G144=1,"제외","여력 시 수집")))</f>
        <v>2단계 확장</v>
      </c>
    </row>
    <row r="145" customFormat="false" ht="15" hidden="false" customHeight="false" outlineLevel="0" collapsed="false">
      <c r="A145" s="3" t="n">
        <v>144</v>
      </c>
      <c r="B145" s="3" t="s">
        <v>127</v>
      </c>
      <c r="C145" s="4" t="s">
        <v>128</v>
      </c>
      <c r="D145" s="5" t="s">
        <v>12</v>
      </c>
      <c r="E145" s="4" t="s">
        <v>178</v>
      </c>
      <c r="F145" s="9" t="s">
        <v>184</v>
      </c>
      <c r="G145" s="12" t="n">
        <v>3</v>
      </c>
      <c r="H145" s="12" t="n">
        <v>3</v>
      </c>
      <c r="I145" s="15" t="n">
        <f aca="false">G145+H145</f>
        <v>6</v>
      </c>
      <c r="J145" s="3" t="str">
        <f aca="false">IF(H145=9,IF(G145=9,"즉시 착수",IF(G145=3,"표준화 병행","선결 과제")),IF(H145=3,IF(G145=1,"보류","2단계 확장"),IF(G145=1,"제외","여력 시 수집")))</f>
        <v>2단계 확장</v>
      </c>
    </row>
    <row r="146" customFormat="false" ht="15" hidden="false" customHeight="false" outlineLevel="0" collapsed="false">
      <c r="A146" s="3" t="n">
        <v>145</v>
      </c>
      <c r="B146" s="3" t="s">
        <v>185</v>
      </c>
      <c r="C146" s="4" t="s">
        <v>186</v>
      </c>
      <c r="D146" s="5" t="s">
        <v>12</v>
      </c>
      <c r="E146" s="4" t="s">
        <v>187</v>
      </c>
      <c r="F146" s="9" t="s">
        <v>188</v>
      </c>
      <c r="G146" s="12" t="n">
        <v>3</v>
      </c>
      <c r="H146" s="12" t="n">
        <v>3</v>
      </c>
      <c r="I146" s="15" t="n">
        <f aca="false">G146+H146</f>
        <v>6</v>
      </c>
      <c r="J146" s="3" t="str">
        <f aca="false">IF(H146=9,IF(G146=9,"즉시 착수",IF(G146=3,"표준화 병행","선결 과제")),IF(H146=3,IF(G146=1,"보류","2단계 확장"),IF(G146=1,"제외","여력 시 수집")))</f>
        <v>2단계 확장</v>
      </c>
    </row>
    <row r="147" customFormat="false" ht="15" hidden="false" customHeight="false" outlineLevel="0" collapsed="false">
      <c r="A147" s="3" t="n">
        <v>146</v>
      </c>
      <c r="B147" s="3" t="s">
        <v>185</v>
      </c>
      <c r="C147" s="4" t="s">
        <v>186</v>
      </c>
      <c r="D147" s="5" t="s">
        <v>12</v>
      </c>
      <c r="E147" s="4" t="s">
        <v>187</v>
      </c>
      <c r="F147" s="9" t="s">
        <v>189</v>
      </c>
      <c r="G147" s="12" t="n">
        <v>3</v>
      </c>
      <c r="H147" s="12" t="n">
        <v>3</v>
      </c>
      <c r="I147" s="15" t="n">
        <f aca="false">G147+H147</f>
        <v>6</v>
      </c>
      <c r="J147" s="3" t="str">
        <f aca="false">IF(H147=9,IF(G147=9,"즉시 착수",IF(G147=3,"표준화 병행","선결 과제")),IF(H147=3,IF(G147=1,"보류","2단계 확장"),IF(G147=1,"제외","여력 시 수집")))</f>
        <v>2단계 확장</v>
      </c>
    </row>
    <row r="148" customFormat="false" ht="15" hidden="false" customHeight="false" outlineLevel="0" collapsed="false">
      <c r="A148" s="3" t="n">
        <v>147</v>
      </c>
      <c r="B148" s="3" t="s">
        <v>185</v>
      </c>
      <c r="C148" s="4" t="s">
        <v>186</v>
      </c>
      <c r="D148" s="5" t="s">
        <v>12</v>
      </c>
      <c r="E148" s="4" t="s">
        <v>187</v>
      </c>
      <c r="F148" s="9" t="s">
        <v>190</v>
      </c>
      <c r="G148" s="10" t="n">
        <v>1</v>
      </c>
      <c r="H148" s="7" t="n">
        <v>9</v>
      </c>
      <c r="I148" s="11" t="n">
        <f aca="false">G148+H148</f>
        <v>10</v>
      </c>
      <c r="J148" s="3" t="str">
        <f aca="false">IF(H148=9,IF(G148=9,"즉시 착수",IF(G148=3,"표준화 병행","선결 과제")),IF(H148=3,IF(G148=1,"보류","2단계 확장"),IF(G148=1,"제외","여력 시 수집")))</f>
        <v>선결 과제</v>
      </c>
    </row>
    <row r="149" customFormat="false" ht="15" hidden="false" customHeight="false" outlineLevel="0" collapsed="false">
      <c r="A149" s="3" t="n">
        <v>148</v>
      </c>
      <c r="B149" s="3" t="s">
        <v>185</v>
      </c>
      <c r="C149" s="4" t="s">
        <v>186</v>
      </c>
      <c r="D149" s="5" t="s">
        <v>12</v>
      </c>
      <c r="E149" s="4" t="s">
        <v>187</v>
      </c>
      <c r="F149" s="9" t="s">
        <v>191</v>
      </c>
      <c r="G149" s="10" t="n">
        <v>1</v>
      </c>
      <c r="H149" s="7" t="n">
        <v>9</v>
      </c>
      <c r="I149" s="11" t="n">
        <f aca="false">G149+H149</f>
        <v>10</v>
      </c>
      <c r="J149" s="3" t="str">
        <f aca="false">IF(H149=9,IF(G149=9,"즉시 착수",IF(G149=3,"표준화 병행","선결 과제")),IF(H149=3,IF(G149=1,"보류","2단계 확장"),IF(G149=1,"제외","여력 시 수집")))</f>
        <v>선결 과제</v>
      </c>
    </row>
    <row r="150" customFormat="false" ht="15" hidden="false" customHeight="false" outlineLevel="0" collapsed="false">
      <c r="A150" s="3" t="n">
        <v>149</v>
      </c>
      <c r="B150" s="3" t="s">
        <v>185</v>
      </c>
      <c r="C150" s="4" t="s">
        <v>186</v>
      </c>
      <c r="D150" s="5" t="s">
        <v>12</v>
      </c>
      <c r="E150" s="4" t="s">
        <v>187</v>
      </c>
      <c r="F150" s="9" t="s">
        <v>192</v>
      </c>
      <c r="G150" s="12" t="n">
        <v>3</v>
      </c>
      <c r="H150" s="12" t="n">
        <v>3</v>
      </c>
      <c r="I150" s="15" t="n">
        <f aca="false">G150+H150</f>
        <v>6</v>
      </c>
      <c r="J150" s="3" t="str">
        <f aca="false">IF(H150=9,IF(G150=9,"즉시 착수",IF(G150=3,"표준화 병행","선결 과제")),IF(H150=3,IF(G150=1,"보류","2단계 확장"),IF(G150=1,"제외","여력 시 수집")))</f>
        <v>2단계 확장</v>
      </c>
    </row>
    <row r="151" customFormat="false" ht="15" hidden="false" customHeight="false" outlineLevel="0" collapsed="false">
      <c r="A151" s="3" t="n">
        <v>150</v>
      </c>
      <c r="B151" s="3" t="s">
        <v>185</v>
      </c>
      <c r="C151" s="4" t="s">
        <v>186</v>
      </c>
      <c r="D151" s="5" t="s">
        <v>12</v>
      </c>
      <c r="E151" s="4" t="s">
        <v>187</v>
      </c>
      <c r="F151" s="9" t="s">
        <v>193</v>
      </c>
      <c r="G151" s="12" t="n">
        <v>3</v>
      </c>
      <c r="H151" s="12" t="n">
        <v>3</v>
      </c>
      <c r="I151" s="15" t="n">
        <f aca="false">G151+H151</f>
        <v>6</v>
      </c>
      <c r="J151" s="3" t="str">
        <f aca="false">IF(H151=9,IF(G151=9,"즉시 착수",IF(G151=3,"표준화 병행","선결 과제")),IF(H151=3,IF(G151=1,"보류","2단계 확장"),IF(G151=1,"제외","여력 시 수집")))</f>
        <v>2단계 확장</v>
      </c>
    </row>
    <row r="152" customFormat="false" ht="15" hidden="false" customHeight="false" outlineLevel="0" collapsed="false">
      <c r="A152" s="3" t="n">
        <v>151</v>
      </c>
      <c r="B152" s="3" t="s">
        <v>185</v>
      </c>
      <c r="C152" s="4" t="s">
        <v>186</v>
      </c>
      <c r="D152" s="5" t="s">
        <v>12</v>
      </c>
      <c r="E152" s="4" t="s">
        <v>194</v>
      </c>
      <c r="F152" s="9" t="s">
        <v>195</v>
      </c>
      <c r="G152" s="10" t="n">
        <v>1</v>
      </c>
      <c r="H152" s="7" t="n">
        <v>9</v>
      </c>
      <c r="I152" s="11" t="n">
        <f aca="false">G152+H152</f>
        <v>10</v>
      </c>
      <c r="J152" s="3" t="str">
        <f aca="false">IF(H152=9,IF(G152=9,"즉시 착수",IF(G152=3,"표준화 병행","선결 과제")),IF(H152=3,IF(G152=1,"보류","2단계 확장"),IF(G152=1,"제외","여력 시 수집")))</f>
        <v>선결 과제</v>
      </c>
    </row>
    <row r="153" customFormat="false" ht="15" hidden="false" customHeight="false" outlineLevel="0" collapsed="false">
      <c r="A153" s="3" t="n">
        <v>152</v>
      </c>
      <c r="B153" s="3" t="s">
        <v>185</v>
      </c>
      <c r="C153" s="4" t="s">
        <v>186</v>
      </c>
      <c r="D153" s="5" t="s">
        <v>12</v>
      </c>
      <c r="E153" s="4" t="s">
        <v>194</v>
      </c>
      <c r="F153" s="9" t="s">
        <v>196</v>
      </c>
      <c r="G153" s="10" t="n">
        <v>1</v>
      </c>
      <c r="H153" s="7" t="n">
        <v>9</v>
      </c>
      <c r="I153" s="11" t="n">
        <f aca="false">G153+H153</f>
        <v>10</v>
      </c>
      <c r="J153" s="3" t="str">
        <f aca="false">IF(H153=9,IF(G153=9,"즉시 착수",IF(G153=3,"표준화 병행","선결 과제")),IF(H153=3,IF(G153=1,"보류","2단계 확장"),IF(G153=1,"제외","여력 시 수집")))</f>
        <v>선결 과제</v>
      </c>
    </row>
    <row r="154" customFormat="false" ht="15" hidden="false" customHeight="false" outlineLevel="0" collapsed="false">
      <c r="A154" s="3" t="n">
        <v>153</v>
      </c>
      <c r="B154" s="3" t="s">
        <v>185</v>
      </c>
      <c r="C154" s="4" t="s">
        <v>186</v>
      </c>
      <c r="D154" s="5" t="s">
        <v>12</v>
      </c>
      <c r="E154" s="4" t="s">
        <v>194</v>
      </c>
      <c r="F154" s="9" t="s">
        <v>197</v>
      </c>
      <c r="G154" s="10" t="n">
        <v>1</v>
      </c>
      <c r="H154" s="7" t="n">
        <v>9</v>
      </c>
      <c r="I154" s="11" t="n">
        <f aca="false">G154+H154</f>
        <v>10</v>
      </c>
      <c r="J154" s="3" t="str">
        <f aca="false">IF(H154=9,IF(G154=9,"즉시 착수",IF(G154=3,"표준화 병행","선결 과제")),IF(H154=3,IF(G154=1,"보류","2단계 확장"),IF(G154=1,"제외","여력 시 수집")))</f>
        <v>선결 과제</v>
      </c>
    </row>
    <row r="155" customFormat="false" ht="15" hidden="false" customHeight="false" outlineLevel="0" collapsed="false">
      <c r="A155" s="3" t="n">
        <v>154</v>
      </c>
      <c r="B155" s="3" t="s">
        <v>185</v>
      </c>
      <c r="C155" s="4" t="s">
        <v>186</v>
      </c>
      <c r="D155" s="5" t="s">
        <v>12</v>
      </c>
      <c r="E155" s="4" t="s">
        <v>194</v>
      </c>
      <c r="F155" s="9" t="s">
        <v>198</v>
      </c>
      <c r="G155" s="10" t="n">
        <v>1</v>
      </c>
      <c r="H155" s="7" t="n">
        <v>9</v>
      </c>
      <c r="I155" s="11" t="n">
        <f aca="false">G155+H155</f>
        <v>10</v>
      </c>
      <c r="J155" s="3" t="str">
        <f aca="false">IF(H155=9,IF(G155=9,"즉시 착수",IF(G155=3,"표준화 병행","선결 과제")),IF(H155=3,IF(G155=1,"보류","2단계 확장"),IF(G155=1,"제외","여력 시 수집")))</f>
        <v>선결 과제</v>
      </c>
    </row>
    <row r="156" customFormat="false" ht="15" hidden="false" customHeight="false" outlineLevel="0" collapsed="false">
      <c r="A156" s="3" t="n">
        <v>155</v>
      </c>
      <c r="B156" s="3" t="s">
        <v>185</v>
      </c>
      <c r="C156" s="4" t="s">
        <v>186</v>
      </c>
      <c r="D156" s="5" t="s">
        <v>12</v>
      </c>
      <c r="E156" s="4" t="s">
        <v>194</v>
      </c>
      <c r="F156" s="9" t="s">
        <v>199</v>
      </c>
      <c r="G156" s="10" t="n">
        <v>1</v>
      </c>
      <c r="H156" s="7" t="n">
        <v>9</v>
      </c>
      <c r="I156" s="11" t="n">
        <f aca="false">G156+H156</f>
        <v>10</v>
      </c>
      <c r="J156" s="3" t="str">
        <f aca="false">IF(H156=9,IF(G156=9,"즉시 착수",IF(G156=3,"표준화 병행","선결 과제")),IF(H156=3,IF(G156=1,"보류","2단계 확장"),IF(G156=1,"제외","여력 시 수집")))</f>
        <v>선결 과제</v>
      </c>
    </row>
    <row r="157" customFormat="false" ht="15" hidden="false" customHeight="false" outlineLevel="0" collapsed="false">
      <c r="A157" s="3" t="n">
        <v>156</v>
      </c>
      <c r="B157" s="3" t="s">
        <v>185</v>
      </c>
      <c r="C157" s="4" t="s">
        <v>186</v>
      </c>
      <c r="D157" s="5" t="s">
        <v>12</v>
      </c>
      <c r="E157" s="4" t="s">
        <v>194</v>
      </c>
      <c r="F157" s="9" t="s">
        <v>200</v>
      </c>
      <c r="G157" s="10" t="n">
        <v>1</v>
      </c>
      <c r="H157" s="7" t="n">
        <v>9</v>
      </c>
      <c r="I157" s="11" t="n">
        <f aca="false">G157+H157</f>
        <v>10</v>
      </c>
      <c r="J157" s="3" t="str">
        <f aca="false">IF(H157=9,IF(G157=9,"즉시 착수",IF(G157=3,"표준화 병행","선결 과제")),IF(H157=3,IF(G157=1,"보류","2단계 확장"),IF(G157=1,"제외","여력 시 수집")))</f>
        <v>선결 과제</v>
      </c>
    </row>
    <row r="158" customFormat="false" ht="15" hidden="false" customHeight="false" outlineLevel="0" collapsed="false">
      <c r="A158" s="3" t="n">
        <v>157</v>
      </c>
      <c r="B158" s="3" t="s">
        <v>185</v>
      </c>
      <c r="C158" s="4" t="s">
        <v>186</v>
      </c>
      <c r="D158" s="5" t="s">
        <v>12</v>
      </c>
      <c r="E158" s="4" t="s">
        <v>201</v>
      </c>
      <c r="F158" s="9" t="s">
        <v>202</v>
      </c>
      <c r="G158" s="12" t="n">
        <v>3</v>
      </c>
      <c r="H158" s="7" t="n">
        <v>9</v>
      </c>
      <c r="I158" s="13" t="n">
        <f aca="false">G158+H158</f>
        <v>12</v>
      </c>
      <c r="J158" s="3" t="str">
        <f aca="false">IF(H158=9,IF(G158=9,"즉시 착수",IF(G158=3,"표준화 병행","선결 과제")),IF(H158=3,IF(G158=1,"보류","2단계 확장"),IF(G158=1,"제외","여력 시 수집")))</f>
        <v>표준화 병행</v>
      </c>
    </row>
    <row r="159" customFormat="false" ht="15" hidden="false" customHeight="false" outlineLevel="0" collapsed="false">
      <c r="A159" s="3" t="n">
        <v>158</v>
      </c>
      <c r="B159" s="3" t="s">
        <v>185</v>
      </c>
      <c r="C159" s="4" t="s">
        <v>186</v>
      </c>
      <c r="D159" s="5" t="s">
        <v>12</v>
      </c>
      <c r="E159" s="4" t="s">
        <v>201</v>
      </c>
      <c r="F159" s="9" t="s">
        <v>203</v>
      </c>
      <c r="G159" s="12" t="n">
        <v>3</v>
      </c>
      <c r="H159" s="7" t="n">
        <v>9</v>
      </c>
      <c r="I159" s="13" t="n">
        <f aca="false">G159+H159</f>
        <v>12</v>
      </c>
      <c r="J159" s="3" t="str">
        <f aca="false">IF(H159=9,IF(G159=9,"즉시 착수",IF(G159=3,"표준화 병행","선결 과제")),IF(H159=3,IF(G159=1,"보류","2단계 확장"),IF(G159=1,"제외","여력 시 수집")))</f>
        <v>표준화 병행</v>
      </c>
    </row>
    <row r="160" customFormat="false" ht="15" hidden="false" customHeight="false" outlineLevel="0" collapsed="false">
      <c r="A160" s="3" t="n">
        <v>159</v>
      </c>
      <c r="B160" s="3" t="s">
        <v>185</v>
      </c>
      <c r="C160" s="4" t="s">
        <v>186</v>
      </c>
      <c r="D160" s="5" t="s">
        <v>12</v>
      </c>
      <c r="E160" s="4" t="s">
        <v>201</v>
      </c>
      <c r="F160" s="9" t="s">
        <v>204</v>
      </c>
      <c r="G160" s="12" t="n">
        <v>3</v>
      </c>
      <c r="H160" s="7" t="n">
        <v>9</v>
      </c>
      <c r="I160" s="13" t="n">
        <f aca="false">G160+H160</f>
        <v>12</v>
      </c>
      <c r="J160" s="3" t="str">
        <f aca="false">IF(H160=9,IF(G160=9,"즉시 착수",IF(G160=3,"표준화 병행","선결 과제")),IF(H160=3,IF(G160=1,"보류","2단계 확장"),IF(G160=1,"제외","여력 시 수집")))</f>
        <v>표준화 병행</v>
      </c>
    </row>
    <row r="161" customFormat="false" ht="15" hidden="false" customHeight="false" outlineLevel="0" collapsed="false">
      <c r="A161" s="3" t="n">
        <v>160</v>
      </c>
      <c r="B161" s="3" t="s">
        <v>185</v>
      </c>
      <c r="C161" s="4" t="s">
        <v>186</v>
      </c>
      <c r="D161" s="5" t="s">
        <v>12</v>
      </c>
      <c r="E161" s="4" t="s">
        <v>201</v>
      </c>
      <c r="F161" s="9" t="s">
        <v>205</v>
      </c>
      <c r="G161" s="10" t="n">
        <v>1</v>
      </c>
      <c r="H161" s="12" t="n">
        <v>3</v>
      </c>
      <c r="I161" s="14" t="n">
        <f aca="false">G161+H161</f>
        <v>4</v>
      </c>
      <c r="J161" s="3" t="str">
        <f aca="false">IF(H161=9,IF(G161=9,"즉시 착수",IF(G161=3,"표준화 병행","선결 과제")),IF(H161=3,IF(G161=1,"보류","2단계 확장"),IF(G161=1,"제외","여력 시 수집")))</f>
        <v>보류</v>
      </c>
    </row>
    <row r="162" customFormat="false" ht="15" hidden="false" customHeight="false" outlineLevel="0" collapsed="false">
      <c r="A162" s="3" t="n">
        <v>161</v>
      </c>
      <c r="B162" s="3" t="s">
        <v>185</v>
      </c>
      <c r="C162" s="4" t="s">
        <v>186</v>
      </c>
      <c r="D162" s="5" t="s">
        <v>12</v>
      </c>
      <c r="E162" s="4" t="s">
        <v>201</v>
      </c>
      <c r="F162" s="6" t="s">
        <v>206</v>
      </c>
      <c r="G162" s="10" t="n">
        <v>1</v>
      </c>
      <c r="H162" s="12" t="n">
        <v>3</v>
      </c>
      <c r="I162" s="14" t="n">
        <f aca="false">G162+H162</f>
        <v>4</v>
      </c>
      <c r="J162" s="3" t="str">
        <f aca="false">IF(H162=9,IF(G162=9,"즉시 착수",IF(G162=3,"표준화 병행","선결 과제")),IF(H162=3,IF(G162=1,"보류","2단계 확장"),IF(G162=1,"제외","여력 시 수집")))</f>
        <v>보류</v>
      </c>
    </row>
    <row r="163" customFormat="false" ht="15" hidden="false" customHeight="false" outlineLevel="0" collapsed="false">
      <c r="A163" s="3" t="n">
        <v>162</v>
      </c>
      <c r="B163" s="3" t="s">
        <v>185</v>
      </c>
      <c r="C163" s="4" t="s">
        <v>186</v>
      </c>
      <c r="D163" s="5" t="s">
        <v>12</v>
      </c>
      <c r="E163" s="4" t="s">
        <v>201</v>
      </c>
      <c r="F163" s="9" t="s">
        <v>207</v>
      </c>
      <c r="G163" s="10" t="n">
        <v>1</v>
      </c>
      <c r="H163" s="7" t="n">
        <v>9</v>
      </c>
      <c r="I163" s="11" t="n">
        <f aca="false">G163+H163</f>
        <v>10</v>
      </c>
      <c r="J163" s="3" t="str">
        <f aca="false">IF(H163=9,IF(G163=9,"즉시 착수",IF(G163=3,"표준화 병행","선결 과제")),IF(H163=3,IF(G163=1,"보류","2단계 확장"),IF(G163=1,"제외","여력 시 수집")))</f>
        <v>선결 과제</v>
      </c>
    </row>
    <row r="164" customFormat="false" ht="15" hidden="false" customHeight="false" outlineLevel="0" collapsed="false">
      <c r="A164" s="3" t="n">
        <v>163</v>
      </c>
      <c r="B164" s="3" t="s">
        <v>185</v>
      </c>
      <c r="C164" s="4" t="s">
        <v>186</v>
      </c>
      <c r="D164" s="5" t="s">
        <v>12</v>
      </c>
      <c r="E164" s="4" t="s">
        <v>208</v>
      </c>
      <c r="F164" s="9" t="s">
        <v>209</v>
      </c>
      <c r="G164" s="10" t="n">
        <v>1</v>
      </c>
      <c r="H164" s="12" t="n">
        <v>3</v>
      </c>
      <c r="I164" s="14" t="n">
        <f aca="false">G164+H164</f>
        <v>4</v>
      </c>
      <c r="J164" s="3" t="str">
        <f aca="false">IF(H164=9,IF(G164=9,"즉시 착수",IF(G164=3,"표준화 병행","선결 과제")),IF(H164=3,IF(G164=1,"보류","2단계 확장"),IF(G164=1,"제외","여력 시 수집")))</f>
        <v>보류</v>
      </c>
    </row>
    <row r="165" customFormat="false" ht="15" hidden="false" customHeight="false" outlineLevel="0" collapsed="false">
      <c r="A165" s="3" t="n">
        <v>164</v>
      </c>
      <c r="B165" s="3" t="s">
        <v>185</v>
      </c>
      <c r="C165" s="4" t="s">
        <v>186</v>
      </c>
      <c r="D165" s="5" t="s">
        <v>12</v>
      </c>
      <c r="E165" s="4" t="s">
        <v>208</v>
      </c>
      <c r="F165" s="9" t="s">
        <v>210</v>
      </c>
      <c r="G165" s="10" t="n">
        <v>1</v>
      </c>
      <c r="H165" s="12" t="n">
        <v>3</v>
      </c>
      <c r="I165" s="14" t="n">
        <f aca="false">G165+H165</f>
        <v>4</v>
      </c>
      <c r="J165" s="3" t="str">
        <f aca="false">IF(H165=9,IF(G165=9,"즉시 착수",IF(G165=3,"표준화 병행","선결 과제")),IF(H165=3,IF(G165=1,"보류","2단계 확장"),IF(G165=1,"제외","여력 시 수집")))</f>
        <v>보류</v>
      </c>
    </row>
    <row r="166" customFormat="false" ht="15" hidden="false" customHeight="false" outlineLevel="0" collapsed="false">
      <c r="A166" s="3" t="n">
        <v>165</v>
      </c>
      <c r="B166" s="3" t="s">
        <v>185</v>
      </c>
      <c r="C166" s="4" t="s">
        <v>186</v>
      </c>
      <c r="D166" s="5" t="s">
        <v>12</v>
      </c>
      <c r="E166" s="4" t="s">
        <v>208</v>
      </c>
      <c r="F166" s="9" t="s">
        <v>211</v>
      </c>
      <c r="G166" s="10" t="n">
        <v>1</v>
      </c>
      <c r="H166" s="12" t="n">
        <v>3</v>
      </c>
      <c r="I166" s="14" t="n">
        <f aca="false">G166+H166</f>
        <v>4</v>
      </c>
      <c r="J166" s="3" t="str">
        <f aca="false">IF(H166=9,IF(G166=9,"즉시 착수",IF(G166=3,"표준화 병행","선결 과제")),IF(H166=3,IF(G166=1,"보류","2단계 확장"),IF(G166=1,"제외","여력 시 수집")))</f>
        <v>보류</v>
      </c>
    </row>
    <row r="167" customFormat="false" ht="15" hidden="false" customHeight="false" outlineLevel="0" collapsed="false">
      <c r="A167" s="3" t="n">
        <v>166</v>
      </c>
      <c r="B167" s="3" t="s">
        <v>185</v>
      </c>
      <c r="C167" s="4" t="s">
        <v>186</v>
      </c>
      <c r="D167" s="5" t="s">
        <v>12</v>
      </c>
      <c r="E167" s="4" t="s">
        <v>208</v>
      </c>
      <c r="F167" s="6" t="s">
        <v>212</v>
      </c>
      <c r="G167" s="12" t="n">
        <v>3</v>
      </c>
      <c r="H167" s="12" t="n">
        <v>3</v>
      </c>
      <c r="I167" s="15" t="n">
        <f aca="false">G167+H167</f>
        <v>6</v>
      </c>
      <c r="J167" s="3" t="str">
        <f aca="false">IF(H167=9,IF(G167=9,"즉시 착수",IF(G167=3,"표준화 병행","선결 과제")),IF(H167=3,IF(G167=1,"보류","2단계 확장"),IF(G167=1,"제외","여력 시 수집")))</f>
        <v>2단계 확장</v>
      </c>
    </row>
    <row r="168" customFormat="false" ht="15" hidden="false" customHeight="false" outlineLevel="0" collapsed="false">
      <c r="A168" s="3" t="n">
        <v>167</v>
      </c>
      <c r="B168" s="3" t="s">
        <v>185</v>
      </c>
      <c r="C168" s="4" t="s">
        <v>186</v>
      </c>
      <c r="D168" s="5" t="s">
        <v>12</v>
      </c>
      <c r="E168" s="4" t="s">
        <v>208</v>
      </c>
      <c r="F168" s="9" t="s">
        <v>213</v>
      </c>
      <c r="G168" s="10" t="n">
        <v>1</v>
      </c>
      <c r="H168" s="12" t="n">
        <v>3</v>
      </c>
      <c r="I168" s="14" t="n">
        <f aca="false">G168+H168</f>
        <v>4</v>
      </c>
      <c r="J168" s="3" t="str">
        <f aca="false">IF(H168=9,IF(G168=9,"즉시 착수",IF(G168=3,"표준화 병행","선결 과제")),IF(H168=3,IF(G168=1,"보류","2단계 확장"),IF(G168=1,"제외","여력 시 수집")))</f>
        <v>보류</v>
      </c>
    </row>
    <row r="169" customFormat="false" ht="15" hidden="false" customHeight="false" outlineLevel="0" collapsed="false">
      <c r="A169" s="3" t="n">
        <v>168</v>
      </c>
      <c r="B169" s="3" t="s">
        <v>185</v>
      </c>
      <c r="C169" s="4" t="s">
        <v>186</v>
      </c>
      <c r="D169" s="5" t="s">
        <v>12</v>
      </c>
      <c r="E169" s="4" t="s">
        <v>208</v>
      </c>
      <c r="F169" s="9" t="s">
        <v>214</v>
      </c>
      <c r="G169" s="10" t="n">
        <v>1</v>
      </c>
      <c r="H169" s="12" t="n">
        <v>3</v>
      </c>
      <c r="I169" s="14" t="n">
        <f aca="false">G169+H169</f>
        <v>4</v>
      </c>
      <c r="J169" s="3" t="str">
        <f aca="false">IF(H169=9,IF(G169=9,"즉시 착수",IF(G169=3,"표준화 병행","선결 과제")),IF(H169=3,IF(G169=1,"보류","2단계 확장"),IF(G169=1,"제외","여력 시 수집")))</f>
        <v>보류</v>
      </c>
    </row>
    <row r="170" customFormat="false" ht="15" hidden="false" customHeight="false" outlineLevel="0" collapsed="false">
      <c r="A170" s="3" t="n">
        <v>169</v>
      </c>
      <c r="B170" s="3" t="s">
        <v>185</v>
      </c>
      <c r="C170" s="4" t="s">
        <v>186</v>
      </c>
      <c r="D170" s="5" t="s">
        <v>12</v>
      </c>
      <c r="E170" s="4" t="s">
        <v>215</v>
      </c>
      <c r="F170" s="9" t="s">
        <v>216</v>
      </c>
      <c r="G170" s="10" t="n">
        <v>1</v>
      </c>
      <c r="H170" s="12" t="n">
        <v>3</v>
      </c>
      <c r="I170" s="14" t="n">
        <f aca="false">G170+H170</f>
        <v>4</v>
      </c>
      <c r="J170" s="3" t="str">
        <f aca="false">IF(H170=9,IF(G170=9,"즉시 착수",IF(G170=3,"표준화 병행","선결 과제")),IF(H170=3,IF(G170=1,"보류","2단계 확장"),IF(G170=1,"제외","여력 시 수집")))</f>
        <v>보류</v>
      </c>
    </row>
    <row r="171" customFormat="false" ht="15" hidden="false" customHeight="false" outlineLevel="0" collapsed="false">
      <c r="A171" s="3" t="n">
        <v>170</v>
      </c>
      <c r="B171" s="3" t="s">
        <v>185</v>
      </c>
      <c r="C171" s="4" t="s">
        <v>186</v>
      </c>
      <c r="D171" s="5" t="s">
        <v>12</v>
      </c>
      <c r="E171" s="4" t="s">
        <v>215</v>
      </c>
      <c r="F171" s="9" t="s">
        <v>217</v>
      </c>
      <c r="G171" s="10" t="n">
        <v>1</v>
      </c>
      <c r="H171" s="12" t="n">
        <v>3</v>
      </c>
      <c r="I171" s="14" t="n">
        <f aca="false">G171+H171</f>
        <v>4</v>
      </c>
      <c r="J171" s="3" t="str">
        <f aca="false">IF(H171=9,IF(G171=9,"즉시 착수",IF(G171=3,"표준화 병행","선결 과제")),IF(H171=3,IF(G171=1,"보류","2단계 확장"),IF(G171=1,"제외","여력 시 수집")))</f>
        <v>보류</v>
      </c>
    </row>
    <row r="172" customFormat="false" ht="15" hidden="false" customHeight="false" outlineLevel="0" collapsed="false">
      <c r="A172" s="3" t="n">
        <v>171</v>
      </c>
      <c r="B172" s="3" t="s">
        <v>185</v>
      </c>
      <c r="C172" s="4" t="s">
        <v>186</v>
      </c>
      <c r="D172" s="5" t="s">
        <v>12</v>
      </c>
      <c r="E172" s="4" t="s">
        <v>215</v>
      </c>
      <c r="F172" s="9" t="s">
        <v>218</v>
      </c>
      <c r="G172" s="7" t="n">
        <v>9</v>
      </c>
      <c r="H172" s="10" t="n">
        <v>1</v>
      </c>
      <c r="I172" s="11" t="n">
        <f aca="false">G172+H172</f>
        <v>10</v>
      </c>
      <c r="J172" s="3" t="str">
        <f aca="false">IF(H172=9,IF(G172=9,"즉시 착수",IF(G172=3,"표준화 병행","선결 과제")),IF(H172=3,IF(G172=1,"보류","2단계 확장"),IF(G172=1,"제외","여력 시 수집")))</f>
        <v>여력 시 수집</v>
      </c>
    </row>
    <row r="173" customFormat="false" ht="15" hidden="false" customHeight="false" outlineLevel="0" collapsed="false">
      <c r="A173" s="3" t="n">
        <v>172</v>
      </c>
      <c r="B173" s="3" t="s">
        <v>185</v>
      </c>
      <c r="C173" s="4" t="s">
        <v>186</v>
      </c>
      <c r="D173" s="5" t="s">
        <v>12</v>
      </c>
      <c r="E173" s="4" t="s">
        <v>215</v>
      </c>
      <c r="F173" s="9" t="s">
        <v>219</v>
      </c>
      <c r="G173" s="10" t="n">
        <v>1</v>
      </c>
      <c r="H173" s="12" t="n">
        <v>3</v>
      </c>
      <c r="I173" s="14" t="n">
        <f aca="false">G173+H173</f>
        <v>4</v>
      </c>
      <c r="J173" s="3" t="str">
        <f aca="false">IF(H173=9,IF(G173=9,"즉시 착수",IF(G173=3,"표준화 병행","선결 과제")),IF(H173=3,IF(G173=1,"보류","2단계 확장"),IF(G173=1,"제외","여력 시 수집")))</f>
        <v>보류</v>
      </c>
    </row>
    <row r="174" customFormat="false" ht="15" hidden="false" customHeight="false" outlineLevel="0" collapsed="false">
      <c r="A174" s="3" t="n">
        <v>173</v>
      </c>
      <c r="B174" s="3" t="s">
        <v>185</v>
      </c>
      <c r="C174" s="4" t="s">
        <v>186</v>
      </c>
      <c r="D174" s="5" t="s">
        <v>12</v>
      </c>
      <c r="E174" s="4" t="s">
        <v>215</v>
      </c>
      <c r="F174" s="9" t="s">
        <v>220</v>
      </c>
      <c r="G174" s="10" t="n">
        <v>1</v>
      </c>
      <c r="H174" s="12" t="n">
        <v>3</v>
      </c>
      <c r="I174" s="14" t="n">
        <f aca="false">G174+H174</f>
        <v>4</v>
      </c>
      <c r="J174" s="3" t="str">
        <f aca="false">IF(H174=9,IF(G174=9,"즉시 착수",IF(G174=3,"표준화 병행","선결 과제")),IF(H174=3,IF(G174=1,"보류","2단계 확장"),IF(G174=1,"제외","여력 시 수집")))</f>
        <v>보류</v>
      </c>
    </row>
    <row r="175" customFormat="false" ht="15" hidden="false" customHeight="false" outlineLevel="0" collapsed="false">
      <c r="A175" s="3" t="n">
        <v>174</v>
      </c>
      <c r="B175" s="3" t="s">
        <v>185</v>
      </c>
      <c r="C175" s="4" t="s">
        <v>186</v>
      </c>
      <c r="D175" s="5" t="s">
        <v>12</v>
      </c>
      <c r="E175" s="4" t="s">
        <v>215</v>
      </c>
      <c r="F175" s="9" t="s">
        <v>221</v>
      </c>
      <c r="G175" s="10" t="n">
        <v>1</v>
      </c>
      <c r="H175" s="12" t="n">
        <v>3</v>
      </c>
      <c r="I175" s="14" t="n">
        <f aca="false">G175+H175</f>
        <v>4</v>
      </c>
      <c r="J175" s="3" t="str">
        <f aca="false">IF(H175=9,IF(G175=9,"즉시 착수",IF(G175=3,"표준화 병행","선결 과제")),IF(H175=3,IF(G175=1,"보류","2단계 확장"),IF(G175=1,"제외","여력 시 수집")))</f>
        <v>보류</v>
      </c>
    </row>
    <row r="176" customFormat="false" ht="15" hidden="false" customHeight="false" outlineLevel="0" collapsed="false">
      <c r="A176" s="3" t="n">
        <v>175</v>
      </c>
      <c r="B176" s="3" t="s">
        <v>185</v>
      </c>
      <c r="C176" s="4" t="s">
        <v>186</v>
      </c>
      <c r="D176" s="5" t="s">
        <v>12</v>
      </c>
      <c r="E176" s="4" t="s">
        <v>222</v>
      </c>
      <c r="F176" s="9" t="s">
        <v>223</v>
      </c>
      <c r="G176" s="12" t="n">
        <v>3</v>
      </c>
      <c r="H176" s="10" t="n">
        <v>1</v>
      </c>
      <c r="I176" s="14" t="n">
        <f aca="false">G176+H176</f>
        <v>4</v>
      </c>
      <c r="J176" s="3" t="str">
        <f aca="false">IF(H176=9,IF(G176=9,"즉시 착수",IF(G176=3,"표준화 병행","선결 과제")),IF(H176=3,IF(G176=1,"보류","2단계 확장"),IF(G176=1,"제외","여력 시 수집")))</f>
        <v>여력 시 수집</v>
      </c>
    </row>
    <row r="177" customFormat="false" ht="15" hidden="false" customHeight="false" outlineLevel="0" collapsed="false">
      <c r="A177" s="3" t="n">
        <v>176</v>
      </c>
      <c r="B177" s="3" t="s">
        <v>185</v>
      </c>
      <c r="C177" s="4" t="s">
        <v>186</v>
      </c>
      <c r="D177" s="5" t="s">
        <v>12</v>
      </c>
      <c r="E177" s="4" t="s">
        <v>222</v>
      </c>
      <c r="F177" s="9" t="s">
        <v>224</v>
      </c>
      <c r="G177" s="12" t="n">
        <v>3</v>
      </c>
      <c r="H177" s="10" t="n">
        <v>1</v>
      </c>
      <c r="I177" s="14" t="n">
        <f aca="false">G177+H177</f>
        <v>4</v>
      </c>
      <c r="J177" s="3" t="str">
        <f aca="false">IF(H177=9,IF(G177=9,"즉시 착수",IF(G177=3,"표준화 병행","선결 과제")),IF(H177=3,IF(G177=1,"보류","2단계 확장"),IF(G177=1,"제외","여력 시 수집")))</f>
        <v>여력 시 수집</v>
      </c>
    </row>
    <row r="178" customFormat="false" ht="15" hidden="false" customHeight="false" outlineLevel="0" collapsed="false">
      <c r="A178" s="3" t="n">
        <v>177</v>
      </c>
      <c r="B178" s="3" t="s">
        <v>185</v>
      </c>
      <c r="C178" s="4" t="s">
        <v>186</v>
      </c>
      <c r="D178" s="5" t="s">
        <v>12</v>
      </c>
      <c r="E178" s="4" t="s">
        <v>222</v>
      </c>
      <c r="F178" s="9" t="s">
        <v>225</v>
      </c>
      <c r="G178" s="12" t="n">
        <v>3</v>
      </c>
      <c r="H178" s="10" t="n">
        <v>1</v>
      </c>
      <c r="I178" s="14" t="n">
        <f aca="false">G178+H178</f>
        <v>4</v>
      </c>
      <c r="J178" s="3" t="str">
        <f aca="false">IF(H178=9,IF(G178=9,"즉시 착수",IF(G178=3,"표준화 병행","선결 과제")),IF(H178=3,IF(G178=1,"보류","2단계 확장"),IF(G178=1,"제외","여력 시 수집")))</f>
        <v>여력 시 수집</v>
      </c>
    </row>
    <row r="179" customFormat="false" ht="15" hidden="false" customHeight="false" outlineLevel="0" collapsed="false">
      <c r="A179" s="3" t="n">
        <v>178</v>
      </c>
      <c r="B179" s="3" t="s">
        <v>185</v>
      </c>
      <c r="C179" s="4" t="s">
        <v>186</v>
      </c>
      <c r="D179" s="5" t="s">
        <v>12</v>
      </c>
      <c r="E179" s="4" t="s">
        <v>222</v>
      </c>
      <c r="F179" s="6" t="s">
        <v>226</v>
      </c>
      <c r="G179" s="10" t="n">
        <v>1</v>
      </c>
      <c r="H179" s="12" t="n">
        <v>3</v>
      </c>
      <c r="I179" s="14" t="n">
        <f aca="false">G179+H179</f>
        <v>4</v>
      </c>
      <c r="J179" s="3" t="str">
        <f aca="false">IF(H179=9,IF(G179=9,"즉시 착수",IF(G179=3,"표준화 병행","선결 과제")),IF(H179=3,IF(G179=1,"보류","2단계 확장"),IF(G179=1,"제외","여력 시 수집")))</f>
        <v>보류</v>
      </c>
    </row>
    <row r="180" customFormat="false" ht="15" hidden="false" customHeight="false" outlineLevel="0" collapsed="false">
      <c r="A180" s="3" t="n">
        <v>179</v>
      </c>
      <c r="B180" s="3" t="s">
        <v>185</v>
      </c>
      <c r="C180" s="4" t="s">
        <v>186</v>
      </c>
      <c r="D180" s="5" t="s">
        <v>12</v>
      </c>
      <c r="E180" s="4" t="s">
        <v>222</v>
      </c>
      <c r="F180" s="9" t="s">
        <v>227</v>
      </c>
      <c r="G180" s="12" t="n">
        <v>3</v>
      </c>
      <c r="H180" s="10" t="n">
        <v>1</v>
      </c>
      <c r="I180" s="14" t="n">
        <f aca="false">G180+H180</f>
        <v>4</v>
      </c>
      <c r="J180" s="3" t="str">
        <f aca="false">IF(H180=9,IF(G180=9,"즉시 착수",IF(G180=3,"표준화 병행","선결 과제")),IF(H180=3,IF(G180=1,"보류","2단계 확장"),IF(G180=1,"제외","여력 시 수집")))</f>
        <v>여력 시 수집</v>
      </c>
    </row>
    <row r="181" customFormat="false" ht="15" hidden="false" customHeight="false" outlineLevel="0" collapsed="false">
      <c r="A181" s="3" t="n">
        <v>180</v>
      </c>
      <c r="B181" s="3" t="s">
        <v>185</v>
      </c>
      <c r="C181" s="4" t="s">
        <v>186</v>
      </c>
      <c r="D181" s="5" t="s">
        <v>12</v>
      </c>
      <c r="E181" s="4" t="s">
        <v>222</v>
      </c>
      <c r="F181" s="9" t="s">
        <v>228</v>
      </c>
      <c r="G181" s="12" t="n">
        <v>3</v>
      </c>
      <c r="H181" s="10" t="n">
        <v>1</v>
      </c>
      <c r="I181" s="14" t="n">
        <f aca="false">G181+H181</f>
        <v>4</v>
      </c>
      <c r="J181" s="3" t="str">
        <f aca="false">IF(H181=9,IF(G181=9,"즉시 착수",IF(G181=3,"표준화 병행","선결 과제")),IF(H181=3,IF(G181=1,"보류","2단계 확장"),IF(G181=1,"제외","여력 시 수집")))</f>
        <v>여력 시 수집</v>
      </c>
    </row>
    <row r="182" customFormat="false" ht="15" hidden="false" customHeight="false" outlineLevel="0" collapsed="false">
      <c r="A182" s="3" t="n">
        <v>181</v>
      </c>
      <c r="B182" s="3" t="s">
        <v>185</v>
      </c>
      <c r="C182" s="4" t="s">
        <v>186</v>
      </c>
      <c r="D182" s="5" t="s">
        <v>12</v>
      </c>
      <c r="E182" s="4" t="s">
        <v>229</v>
      </c>
      <c r="F182" s="9" t="s">
        <v>230</v>
      </c>
      <c r="G182" s="10" t="n">
        <v>1</v>
      </c>
      <c r="H182" s="7" t="n">
        <v>9</v>
      </c>
      <c r="I182" s="11" t="n">
        <f aca="false">G182+H182</f>
        <v>10</v>
      </c>
      <c r="J182" s="3" t="str">
        <f aca="false">IF(H182=9,IF(G182=9,"즉시 착수",IF(G182=3,"표준화 병행","선결 과제")),IF(H182=3,IF(G182=1,"보류","2단계 확장"),IF(G182=1,"제외","여력 시 수집")))</f>
        <v>선결 과제</v>
      </c>
    </row>
    <row r="183" customFormat="false" ht="15" hidden="false" customHeight="false" outlineLevel="0" collapsed="false">
      <c r="A183" s="3" t="n">
        <v>182</v>
      </c>
      <c r="B183" s="3" t="s">
        <v>185</v>
      </c>
      <c r="C183" s="4" t="s">
        <v>186</v>
      </c>
      <c r="D183" s="5" t="s">
        <v>12</v>
      </c>
      <c r="E183" s="4" t="s">
        <v>229</v>
      </c>
      <c r="F183" s="9" t="s">
        <v>231</v>
      </c>
      <c r="G183" s="10" t="n">
        <v>1</v>
      </c>
      <c r="H183" s="7" t="n">
        <v>9</v>
      </c>
      <c r="I183" s="11" t="n">
        <f aca="false">G183+H183</f>
        <v>10</v>
      </c>
      <c r="J183" s="3" t="str">
        <f aca="false">IF(H183=9,IF(G183=9,"즉시 착수",IF(G183=3,"표준화 병행","선결 과제")),IF(H183=3,IF(G183=1,"보류","2단계 확장"),IF(G183=1,"제외","여력 시 수집")))</f>
        <v>선결 과제</v>
      </c>
    </row>
    <row r="184" customFormat="false" ht="15" hidden="false" customHeight="false" outlineLevel="0" collapsed="false">
      <c r="A184" s="3" t="n">
        <v>183</v>
      </c>
      <c r="B184" s="3" t="s">
        <v>185</v>
      </c>
      <c r="C184" s="4" t="s">
        <v>186</v>
      </c>
      <c r="D184" s="5" t="s">
        <v>12</v>
      </c>
      <c r="E184" s="4" t="s">
        <v>229</v>
      </c>
      <c r="F184" s="9" t="s">
        <v>232</v>
      </c>
      <c r="G184" s="12" t="n">
        <v>3</v>
      </c>
      <c r="H184" s="12" t="n">
        <v>3</v>
      </c>
      <c r="I184" s="15" t="n">
        <f aca="false">G184+H184</f>
        <v>6</v>
      </c>
      <c r="J184" s="3" t="str">
        <f aca="false">IF(H184=9,IF(G184=9,"즉시 착수",IF(G184=3,"표준화 병행","선결 과제")),IF(H184=3,IF(G184=1,"보류","2단계 확장"),IF(G184=1,"제외","여력 시 수집")))</f>
        <v>2단계 확장</v>
      </c>
    </row>
    <row r="185" customFormat="false" ht="15" hidden="false" customHeight="false" outlineLevel="0" collapsed="false">
      <c r="A185" s="3" t="n">
        <v>184</v>
      </c>
      <c r="B185" s="3" t="s">
        <v>185</v>
      </c>
      <c r="C185" s="4" t="s">
        <v>186</v>
      </c>
      <c r="D185" s="5" t="s">
        <v>12</v>
      </c>
      <c r="E185" s="4" t="s">
        <v>229</v>
      </c>
      <c r="F185" s="9" t="s">
        <v>233</v>
      </c>
      <c r="G185" s="10" t="n">
        <v>1</v>
      </c>
      <c r="H185" s="7" t="n">
        <v>9</v>
      </c>
      <c r="I185" s="11" t="n">
        <f aca="false">G185+H185</f>
        <v>10</v>
      </c>
      <c r="J185" s="3" t="str">
        <f aca="false">IF(H185=9,IF(G185=9,"즉시 착수",IF(G185=3,"표준화 병행","선결 과제")),IF(H185=3,IF(G185=1,"보류","2단계 확장"),IF(G185=1,"제외","여력 시 수집")))</f>
        <v>선결 과제</v>
      </c>
    </row>
    <row r="186" customFormat="false" ht="15" hidden="false" customHeight="false" outlineLevel="0" collapsed="false">
      <c r="A186" s="3" t="n">
        <v>185</v>
      </c>
      <c r="B186" s="3" t="s">
        <v>185</v>
      </c>
      <c r="C186" s="4" t="s">
        <v>186</v>
      </c>
      <c r="D186" s="5" t="s">
        <v>12</v>
      </c>
      <c r="E186" s="4" t="s">
        <v>229</v>
      </c>
      <c r="F186" s="9" t="s">
        <v>45</v>
      </c>
      <c r="G186" s="12" t="n">
        <v>3</v>
      </c>
      <c r="H186" s="7" t="n">
        <v>9</v>
      </c>
      <c r="I186" s="13" t="n">
        <f aca="false">G186+H186</f>
        <v>12</v>
      </c>
      <c r="J186" s="3" t="str">
        <f aca="false">IF(H186=9,IF(G186=9,"즉시 착수",IF(G186=3,"표준화 병행","선결 과제")),IF(H186=3,IF(G186=1,"보류","2단계 확장"),IF(G186=1,"제외","여력 시 수집")))</f>
        <v>표준화 병행</v>
      </c>
    </row>
    <row r="187" customFormat="false" ht="15" hidden="false" customHeight="false" outlineLevel="0" collapsed="false">
      <c r="A187" s="3" t="n">
        <v>186</v>
      </c>
      <c r="B187" s="3" t="s">
        <v>185</v>
      </c>
      <c r="C187" s="4" t="s">
        <v>186</v>
      </c>
      <c r="D187" s="5" t="s">
        <v>12</v>
      </c>
      <c r="E187" s="4" t="s">
        <v>229</v>
      </c>
      <c r="F187" s="9" t="s">
        <v>234</v>
      </c>
      <c r="G187" s="10" t="n">
        <v>1</v>
      </c>
      <c r="H187" s="7" t="n">
        <v>9</v>
      </c>
      <c r="I187" s="11" t="n">
        <f aca="false">G187+H187</f>
        <v>10</v>
      </c>
      <c r="J187" s="3" t="str">
        <f aca="false">IF(H187=9,IF(G187=9,"즉시 착수",IF(G187=3,"표준화 병행","선결 과제")),IF(H187=3,IF(G187=1,"보류","2단계 확장"),IF(G187=1,"제외","여력 시 수집")))</f>
        <v>선결 과제</v>
      </c>
    </row>
    <row r="188" customFormat="false" ht="15" hidden="false" customHeight="false" outlineLevel="0" collapsed="false">
      <c r="A188" s="3" t="n">
        <v>187</v>
      </c>
      <c r="B188" s="3" t="s">
        <v>185</v>
      </c>
      <c r="C188" s="4" t="s">
        <v>186</v>
      </c>
      <c r="D188" s="5" t="s">
        <v>12</v>
      </c>
      <c r="E188" s="4" t="s">
        <v>235</v>
      </c>
      <c r="F188" s="9" t="s">
        <v>236</v>
      </c>
      <c r="G188" s="10" t="n">
        <v>1</v>
      </c>
      <c r="H188" s="12" t="n">
        <v>3</v>
      </c>
      <c r="I188" s="14" t="n">
        <f aca="false">G188+H188</f>
        <v>4</v>
      </c>
      <c r="J188" s="3" t="str">
        <f aca="false">IF(H188=9,IF(G188=9,"즉시 착수",IF(G188=3,"표준화 병행","선결 과제")),IF(H188=3,IF(G188=1,"보류","2단계 확장"),IF(G188=1,"제외","여력 시 수집")))</f>
        <v>보류</v>
      </c>
    </row>
    <row r="189" customFormat="false" ht="15" hidden="false" customHeight="false" outlineLevel="0" collapsed="false">
      <c r="A189" s="3" t="n">
        <v>188</v>
      </c>
      <c r="B189" s="3" t="s">
        <v>185</v>
      </c>
      <c r="C189" s="4" t="s">
        <v>186</v>
      </c>
      <c r="D189" s="5" t="s">
        <v>12</v>
      </c>
      <c r="E189" s="4" t="s">
        <v>235</v>
      </c>
      <c r="F189" s="9" t="s">
        <v>237</v>
      </c>
      <c r="G189" s="10" t="n">
        <v>1</v>
      </c>
      <c r="H189" s="12" t="n">
        <v>3</v>
      </c>
      <c r="I189" s="14" t="n">
        <f aca="false">G189+H189</f>
        <v>4</v>
      </c>
      <c r="J189" s="3" t="str">
        <f aca="false">IF(H189=9,IF(G189=9,"즉시 착수",IF(G189=3,"표준화 병행","선결 과제")),IF(H189=3,IF(G189=1,"보류","2단계 확장"),IF(G189=1,"제외","여력 시 수집")))</f>
        <v>보류</v>
      </c>
    </row>
    <row r="190" customFormat="false" ht="15" hidden="false" customHeight="false" outlineLevel="0" collapsed="false">
      <c r="A190" s="3" t="n">
        <v>189</v>
      </c>
      <c r="B190" s="3" t="s">
        <v>185</v>
      </c>
      <c r="C190" s="4" t="s">
        <v>186</v>
      </c>
      <c r="D190" s="5" t="s">
        <v>12</v>
      </c>
      <c r="E190" s="4" t="s">
        <v>235</v>
      </c>
      <c r="F190" s="9" t="s">
        <v>238</v>
      </c>
      <c r="G190" s="10" t="n">
        <v>1</v>
      </c>
      <c r="H190" s="12" t="n">
        <v>3</v>
      </c>
      <c r="I190" s="14" t="n">
        <f aca="false">G190+H190</f>
        <v>4</v>
      </c>
      <c r="J190" s="3" t="str">
        <f aca="false">IF(H190=9,IF(G190=9,"즉시 착수",IF(G190=3,"표준화 병행","선결 과제")),IF(H190=3,IF(G190=1,"보류","2단계 확장"),IF(G190=1,"제외","여력 시 수집")))</f>
        <v>보류</v>
      </c>
    </row>
    <row r="191" customFormat="false" ht="15" hidden="false" customHeight="false" outlineLevel="0" collapsed="false">
      <c r="A191" s="3" t="n">
        <v>190</v>
      </c>
      <c r="B191" s="3" t="s">
        <v>185</v>
      </c>
      <c r="C191" s="4" t="s">
        <v>186</v>
      </c>
      <c r="D191" s="5" t="s">
        <v>12</v>
      </c>
      <c r="E191" s="4" t="s">
        <v>235</v>
      </c>
      <c r="F191" s="9" t="s">
        <v>239</v>
      </c>
      <c r="G191" s="10" t="n">
        <v>1</v>
      </c>
      <c r="H191" s="12" t="n">
        <v>3</v>
      </c>
      <c r="I191" s="14" t="n">
        <f aca="false">G191+H191</f>
        <v>4</v>
      </c>
      <c r="J191" s="3" t="str">
        <f aca="false">IF(H191=9,IF(G191=9,"즉시 착수",IF(G191=3,"표준화 병행","선결 과제")),IF(H191=3,IF(G191=1,"보류","2단계 확장"),IF(G191=1,"제외","여력 시 수집")))</f>
        <v>보류</v>
      </c>
    </row>
    <row r="192" customFormat="false" ht="15" hidden="false" customHeight="false" outlineLevel="0" collapsed="false">
      <c r="A192" s="3" t="n">
        <v>191</v>
      </c>
      <c r="B192" s="3" t="s">
        <v>185</v>
      </c>
      <c r="C192" s="4" t="s">
        <v>186</v>
      </c>
      <c r="D192" s="5" t="s">
        <v>12</v>
      </c>
      <c r="E192" s="4" t="s">
        <v>235</v>
      </c>
      <c r="F192" s="9" t="s">
        <v>240</v>
      </c>
      <c r="G192" s="10" t="n">
        <v>1</v>
      </c>
      <c r="H192" s="7" t="n">
        <v>9</v>
      </c>
      <c r="I192" s="11" t="n">
        <f aca="false">G192+H192</f>
        <v>10</v>
      </c>
      <c r="J192" s="3" t="str">
        <f aca="false">IF(H192=9,IF(G192=9,"즉시 착수",IF(G192=3,"표준화 병행","선결 과제")),IF(H192=3,IF(G192=1,"보류","2단계 확장"),IF(G192=1,"제외","여력 시 수집")))</f>
        <v>선결 과제</v>
      </c>
    </row>
    <row r="193" customFormat="false" ht="15" hidden="false" customHeight="false" outlineLevel="0" collapsed="false">
      <c r="A193" s="3" t="n">
        <v>192</v>
      </c>
      <c r="B193" s="3" t="s">
        <v>185</v>
      </c>
      <c r="C193" s="4" t="s">
        <v>186</v>
      </c>
      <c r="D193" s="5" t="s">
        <v>12</v>
      </c>
      <c r="E193" s="4" t="s">
        <v>235</v>
      </c>
      <c r="F193" s="9" t="s">
        <v>241</v>
      </c>
      <c r="G193" s="10" t="n">
        <v>1</v>
      </c>
      <c r="H193" s="12" t="n">
        <v>3</v>
      </c>
      <c r="I193" s="14" t="n">
        <f aca="false">G193+H193</f>
        <v>4</v>
      </c>
      <c r="J193" s="3" t="str">
        <f aca="false">IF(H193=9,IF(G193=9,"즉시 착수",IF(G193=3,"표준화 병행","선결 과제")),IF(H193=3,IF(G193=1,"보류","2단계 확장"),IF(G193=1,"제외","여력 시 수집")))</f>
        <v>보류</v>
      </c>
    </row>
    <row r="194" customFormat="false" ht="15" hidden="false" customHeight="false" outlineLevel="0" collapsed="false">
      <c r="A194" s="3" t="n">
        <v>193</v>
      </c>
      <c r="B194" s="3" t="s">
        <v>242</v>
      </c>
      <c r="C194" s="4" t="s">
        <v>243</v>
      </c>
      <c r="D194" s="5" t="s">
        <v>12</v>
      </c>
      <c r="E194" s="4" t="s">
        <v>244</v>
      </c>
      <c r="F194" s="9" t="s">
        <v>245</v>
      </c>
      <c r="G194" s="7" t="n">
        <v>9</v>
      </c>
      <c r="H194" s="7" t="n">
        <v>9</v>
      </c>
      <c r="I194" s="8" t="n">
        <f aca="false">G194+H194</f>
        <v>18</v>
      </c>
      <c r="J194" s="3" t="str">
        <f aca="false">IF(H194=9,IF(G194=9,"즉시 착수",IF(G194=3,"표준화 병행","선결 과제")),IF(H194=3,IF(G194=1,"보류","2단계 확장"),IF(G194=1,"제외","여력 시 수집")))</f>
        <v>즉시 착수</v>
      </c>
    </row>
    <row r="195" customFormat="false" ht="15" hidden="false" customHeight="false" outlineLevel="0" collapsed="false">
      <c r="A195" s="3" t="n">
        <v>194</v>
      </c>
      <c r="B195" s="3" t="s">
        <v>242</v>
      </c>
      <c r="C195" s="4" t="s">
        <v>243</v>
      </c>
      <c r="D195" s="5" t="s">
        <v>12</v>
      </c>
      <c r="E195" s="4" t="s">
        <v>244</v>
      </c>
      <c r="F195" s="9" t="s">
        <v>246</v>
      </c>
      <c r="G195" s="12" t="n">
        <v>3</v>
      </c>
      <c r="H195" s="12" t="n">
        <v>3</v>
      </c>
      <c r="I195" s="15" t="n">
        <f aca="false">G195+H195</f>
        <v>6</v>
      </c>
      <c r="J195" s="3" t="str">
        <f aca="false">IF(H195=9,IF(G195=9,"즉시 착수",IF(G195=3,"표준화 병행","선결 과제")),IF(H195=3,IF(G195=1,"보류","2단계 확장"),IF(G195=1,"제외","여력 시 수집")))</f>
        <v>2단계 확장</v>
      </c>
    </row>
    <row r="196" customFormat="false" ht="15" hidden="false" customHeight="false" outlineLevel="0" collapsed="false">
      <c r="A196" s="3" t="n">
        <v>195</v>
      </c>
      <c r="B196" s="3" t="s">
        <v>242</v>
      </c>
      <c r="C196" s="4" t="s">
        <v>243</v>
      </c>
      <c r="D196" s="5" t="s">
        <v>12</v>
      </c>
      <c r="E196" s="4" t="s">
        <v>244</v>
      </c>
      <c r="F196" s="9" t="s">
        <v>247</v>
      </c>
      <c r="G196" s="12" t="n">
        <v>3</v>
      </c>
      <c r="H196" s="12" t="n">
        <v>3</v>
      </c>
      <c r="I196" s="15" t="n">
        <f aca="false">G196+H196</f>
        <v>6</v>
      </c>
      <c r="J196" s="3" t="str">
        <f aca="false">IF(H196=9,IF(G196=9,"즉시 착수",IF(G196=3,"표준화 병행","선결 과제")),IF(H196=3,IF(G196=1,"보류","2단계 확장"),IF(G196=1,"제외","여력 시 수집")))</f>
        <v>2단계 확장</v>
      </c>
    </row>
    <row r="197" customFormat="false" ht="15" hidden="false" customHeight="false" outlineLevel="0" collapsed="false">
      <c r="A197" s="3" t="n">
        <v>196</v>
      </c>
      <c r="B197" s="3" t="s">
        <v>242</v>
      </c>
      <c r="C197" s="4" t="s">
        <v>243</v>
      </c>
      <c r="D197" s="5" t="s">
        <v>12</v>
      </c>
      <c r="E197" s="4" t="s">
        <v>244</v>
      </c>
      <c r="F197" s="9" t="s">
        <v>248</v>
      </c>
      <c r="G197" s="7" t="n">
        <v>9</v>
      </c>
      <c r="H197" s="7" t="n">
        <v>9</v>
      </c>
      <c r="I197" s="8" t="n">
        <f aca="false">G197+H197</f>
        <v>18</v>
      </c>
      <c r="J197" s="3" t="str">
        <f aca="false">IF(H197=9,IF(G197=9,"즉시 착수",IF(G197=3,"표준화 병행","선결 과제")),IF(H197=3,IF(G197=1,"보류","2단계 확장"),IF(G197=1,"제외","여력 시 수집")))</f>
        <v>즉시 착수</v>
      </c>
    </row>
    <row r="198" customFormat="false" ht="15" hidden="false" customHeight="false" outlineLevel="0" collapsed="false">
      <c r="A198" s="3" t="n">
        <v>197</v>
      </c>
      <c r="B198" s="3" t="s">
        <v>242</v>
      </c>
      <c r="C198" s="4" t="s">
        <v>243</v>
      </c>
      <c r="D198" s="5" t="s">
        <v>12</v>
      </c>
      <c r="E198" s="4" t="s">
        <v>244</v>
      </c>
      <c r="F198" s="9" t="s">
        <v>249</v>
      </c>
      <c r="G198" s="7" t="n">
        <v>9</v>
      </c>
      <c r="H198" s="7" t="n">
        <v>9</v>
      </c>
      <c r="I198" s="8" t="n">
        <f aca="false">G198+H198</f>
        <v>18</v>
      </c>
      <c r="J198" s="3" t="str">
        <f aca="false">IF(H198=9,IF(G198=9,"즉시 착수",IF(G198=3,"표준화 병행","선결 과제")),IF(H198=3,IF(G198=1,"보류","2단계 확장"),IF(G198=1,"제외","여력 시 수집")))</f>
        <v>즉시 착수</v>
      </c>
    </row>
    <row r="199" customFormat="false" ht="15" hidden="false" customHeight="false" outlineLevel="0" collapsed="false">
      <c r="A199" s="3" t="n">
        <v>198</v>
      </c>
      <c r="B199" s="3" t="s">
        <v>242</v>
      </c>
      <c r="C199" s="4" t="s">
        <v>243</v>
      </c>
      <c r="D199" s="5" t="s">
        <v>12</v>
      </c>
      <c r="E199" s="4" t="s">
        <v>244</v>
      </c>
      <c r="F199" s="9" t="s">
        <v>250</v>
      </c>
      <c r="G199" s="10" t="n">
        <v>1</v>
      </c>
      <c r="H199" s="7" t="n">
        <v>9</v>
      </c>
      <c r="I199" s="11" t="n">
        <f aca="false">G199+H199</f>
        <v>10</v>
      </c>
      <c r="J199" s="3" t="str">
        <f aca="false">IF(H199=9,IF(G199=9,"즉시 착수",IF(G199=3,"표준화 병행","선결 과제")),IF(H199=3,IF(G199=1,"보류","2단계 확장"),IF(G199=1,"제외","여력 시 수집")))</f>
        <v>선결 과제</v>
      </c>
    </row>
    <row r="200" customFormat="false" ht="15" hidden="false" customHeight="false" outlineLevel="0" collapsed="false">
      <c r="A200" s="3" t="n">
        <v>199</v>
      </c>
      <c r="B200" s="3" t="s">
        <v>242</v>
      </c>
      <c r="C200" s="4" t="s">
        <v>243</v>
      </c>
      <c r="D200" s="5" t="s">
        <v>12</v>
      </c>
      <c r="E200" s="4" t="s">
        <v>251</v>
      </c>
      <c r="F200" s="9" t="s">
        <v>252</v>
      </c>
      <c r="G200" s="7" t="n">
        <v>9</v>
      </c>
      <c r="H200" s="7" t="n">
        <v>9</v>
      </c>
      <c r="I200" s="8" t="n">
        <f aca="false">G200+H200</f>
        <v>18</v>
      </c>
      <c r="J200" s="3" t="str">
        <f aca="false">IF(H200=9,IF(G200=9,"즉시 착수",IF(G200=3,"표준화 병행","선결 과제")),IF(H200=3,IF(G200=1,"보류","2단계 확장"),IF(G200=1,"제외","여력 시 수집")))</f>
        <v>즉시 착수</v>
      </c>
    </row>
    <row r="201" customFormat="false" ht="15" hidden="false" customHeight="false" outlineLevel="0" collapsed="false">
      <c r="A201" s="3" t="n">
        <v>200</v>
      </c>
      <c r="B201" s="3" t="s">
        <v>242</v>
      </c>
      <c r="C201" s="4" t="s">
        <v>243</v>
      </c>
      <c r="D201" s="5" t="s">
        <v>12</v>
      </c>
      <c r="E201" s="4" t="s">
        <v>251</v>
      </c>
      <c r="F201" s="9" t="s">
        <v>253</v>
      </c>
      <c r="G201" s="7" t="n">
        <v>9</v>
      </c>
      <c r="H201" s="7" t="n">
        <v>9</v>
      </c>
      <c r="I201" s="8" t="n">
        <f aca="false">G201+H201</f>
        <v>18</v>
      </c>
      <c r="J201" s="3" t="str">
        <f aca="false">IF(H201=9,IF(G201=9,"즉시 착수",IF(G201=3,"표준화 병행","선결 과제")),IF(H201=3,IF(G201=1,"보류","2단계 확장"),IF(G201=1,"제외","여력 시 수집")))</f>
        <v>즉시 착수</v>
      </c>
    </row>
    <row r="202" customFormat="false" ht="15" hidden="false" customHeight="false" outlineLevel="0" collapsed="false">
      <c r="A202" s="3" t="n">
        <v>201</v>
      </c>
      <c r="B202" s="3" t="s">
        <v>242</v>
      </c>
      <c r="C202" s="4" t="s">
        <v>243</v>
      </c>
      <c r="D202" s="5" t="s">
        <v>12</v>
      </c>
      <c r="E202" s="4" t="s">
        <v>251</v>
      </c>
      <c r="F202" s="9" t="s">
        <v>254</v>
      </c>
      <c r="G202" s="7" t="n">
        <v>9</v>
      </c>
      <c r="H202" s="7" t="n">
        <v>9</v>
      </c>
      <c r="I202" s="8" t="n">
        <f aca="false">G202+H202</f>
        <v>18</v>
      </c>
      <c r="J202" s="3" t="str">
        <f aca="false">IF(H202=9,IF(G202=9,"즉시 착수",IF(G202=3,"표준화 병행","선결 과제")),IF(H202=3,IF(G202=1,"보류","2단계 확장"),IF(G202=1,"제외","여력 시 수집")))</f>
        <v>즉시 착수</v>
      </c>
    </row>
    <row r="203" customFormat="false" ht="15" hidden="false" customHeight="false" outlineLevel="0" collapsed="false">
      <c r="A203" s="3" t="n">
        <v>202</v>
      </c>
      <c r="B203" s="3" t="s">
        <v>242</v>
      </c>
      <c r="C203" s="4" t="s">
        <v>243</v>
      </c>
      <c r="D203" s="5" t="s">
        <v>12</v>
      </c>
      <c r="E203" s="4" t="s">
        <v>251</v>
      </c>
      <c r="F203" s="9" t="s">
        <v>255</v>
      </c>
      <c r="G203" s="7" t="n">
        <v>9</v>
      </c>
      <c r="H203" s="7" t="n">
        <v>9</v>
      </c>
      <c r="I203" s="8" t="n">
        <f aca="false">G203+H203</f>
        <v>18</v>
      </c>
      <c r="J203" s="3" t="str">
        <f aca="false">IF(H203=9,IF(G203=9,"즉시 착수",IF(G203=3,"표준화 병행","선결 과제")),IF(H203=3,IF(G203=1,"보류","2단계 확장"),IF(G203=1,"제외","여력 시 수집")))</f>
        <v>즉시 착수</v>
      </c>
    </row>
    <row r="204" customFormat="false" ht="15" hidden="false" customHeight="false" outlineLevel="0" collapsed="false">
      <c r="A204" s="3" t="n">
        <v>203</v>
      </c>
      <c r="B204" s="3" t="s">
        <v>242</v>
      </c>
      <c r="C204" s="4" t="s">
        <v>243</v>
      </c>
      <c r="D204" s="5" t="s">
        <v>12</v>
      </c>
      <c r="E204" s="4" t="s">
        <v>251</v>
      </c>
      <c r="F204" s="9" t="s">
        <v>256</v>
      </c>
      <c r="G204" s="7" t="n">
        <v>9</v>
      </c>
      <c r="H204" s="7" t="n">
        <v>9</v>
      </c>
      <c r="I204" s="8" t="n">
        <f aca="false">G204+H204</f>
        <v>18</v>
      </c>
      <c r="J204" s="3" t="str">
        <f aca="false">IF(H204=9,IF(G204=9,"즉시 착수",IF(G204=3,"표준화 병행","선결 과제")),IF(H204=3,IF(G204=1,"보류","2단계 확장"),IF(G204=1,"제외","여력 시 수집")))</f>
        <v>즉시 착수</v>
      </c>
    </row>
    <row r="205" customFormat="false" ht="15" hidden="false" customHeight="false" outlineLevel="0" collapsed="false">
      <c r="A205" s="3" t="n">
        <v>204</v>
      </c>
      <c r="B205" s="3" t="s">
        <v>242</v>
      </c>
      <c r="C205" s="4" t="s">
        <v>243</v>
      </c>
      <c r="D205" s="5" t="s">
        <v>12</v>
      </c>
      <c r="E205" s="4" t="s">
        <v>251</v>
      </c>
      <c r="F205" s="6" t="s">
        <v>257</v>
      </c>
      <c r="G205" s="10" t="n">
        <v>1</v>
      </c>
      <c r="H205" s="12" t="n">
        <v>3</v>
      </c>
      <c r="I205" s="14" t="n">
        <f aca="false">G205+H205</f>
        <v>4</v>
      </c>
      <c r="J205" s="3" t="str">
        <f aca="false">IF(H205=9,IF(G205=9,"즉시 착수",IF(G205=3,"표준화 병행","선결 과제")),IF(H205=3,IF(G205=1,"보류","2단계 확장"),IF(G205=1,"제외","여력 시 수집")))</f>
        <v>보류</v>
      </c>
    </row>
    <row r="206" customFormat="false" ht="15" hidden="false" customHeight="false" outlineLevel="0" collapsed="false">
      <c r="A206" s="3" t="n">
        <v>205</v>
      </c>
      <c r="B206" s="3" t="s">
        <v>242</v>
      </c>
      <c r="C206" s="4" t="s">
        <v>243</v>
      </c>
      <c r="D206" s="5" t="s">
        <v>12</v>
      </c>
      <c r="E206" s="4" t="s">
        <v>258</v>
      </c>
      <c r="F206" s="9" t="s">
        <v>259</v>
      </c>
      <c r="G206" s="12" t="n">
        <v>3</v>
      </c>
      <c r="H206" s="7" t="n">
        <v>9</v>
      </c>
      <c r="I206" s="13" t="n">
        <f aca="false">G206+H206</f>
        <v>12</v>
      </c>
      <c r="J206" s="3" t="str">
        <f aca="false">IF(H206=9,IF(G206=9,"즉시 착수",IF(G206=3,"표준화 병행","선결 과제")),IF(H206=3,IF(G206=1,"보류","2단계 확장"),IF(G206=1,"제외","여력 시 수집")))</f>
        <v>표준화 병행</v>
      </c>
    </row>
    <row r="207" customFormat="false" ht="15" hidden="false" customHeight="false" outlineLevel="0" collapsed="false">
      <c r="A207" s="3" t="n">
        <v>206</v>
      </c>
      <c r="B207" s="3" t="s">
        <v>242</v>
      </c>
      <c r="C207" s="4" t="s">
        <v>243</v>
      </c>
      <c r="D207" s="5" t="s">
        <v>12</v>
      </c>
      <c r="E207" s="4" t="s">
        <v>258</v>
      </c>
      <c r="F207" s="9" t="s">
        <v>260</v>
      </c>
      <c r="G207" s="12" t="n">
        <v>3</v>
      </c>
      <c r="H207" s="7" t="n">
        <v>9</v>
      </c>
      <c r="I207" s="13" t="n">
        <f aca="false">G207+H207</f>
        <v>12</v>
      </c>
      <c r="J207" s="3" t="str">
        <f aca="false">IF(H207=9,IF(G207=9,"즉시 착수",IF(G207=3,"표준화 병행","선결 과제")),IF(H207=3,IF(G207=1,"보류","2단계 확장"),IF(G207=1,"제외","여력 시 수집")))</f>
        <v>표준화 병행</v>
      </c>
    </row>
    <row r="208" customFormat="false" ht="15" hidden="false" customHeight="false" outlineLevel="0" collapsed="false">
      <c r="A208" s="3" t="n">
        <v>207</v>
      </c>
      <c r="B208" s="3" t="s">
        <v>242</v>
      </c>
      <c r="C208" s="4" t="s">
        <v>243</v>
      </c>
      <c r="D208" s="5" t="s">
        <v>12</v>
      </c>
      <c r="E208" s="4" t="s">
        <v>258</v>
      </c>
      <c r="F208" s="9" t="s">
        <v>261</v>
      </c>
      <c r="G208" s="10" t="n">
        <v>1</v>
      </c>
      <c r="H208" s="7" t="n">
        <v>9</v>
      </c>
      <c r="I208" s="11" t="n">
        <f aca="false">G208+H208</f>
        <v>10</v>
      </c>
      <c r="J208" s="3" t="str">
        <f aca="false">IF(H208=9,IF(G208=9,"즉시 착수",IF(G208=3,"표준화 병행","선결 과제")),IF(H208=3,IF(G208=1,"보류","2단계 확장"),IF(G208=1,"제외","여력 시 수집")))</f>
        <v>선결 과제</v>
      </c>
    </row>
    <row r="209" customFormat="false" ht="15" hidden="false" customHeight="false" outlineLevel="0" collapsed="false">
      <c r="A209" s="3" t="n">
        <v>208</v>
      </c>
      <c r="B209" s="3" t="s">
        <v>242</v>
      </c>
      <c r="C209" s="4" t="s">
        <v>243</v>
      </c>
      <c r="D209" s="5" t="s">
        <v>12</v>
      </c>
      <c r="E209" s="4" t="s">
        <v>258</v>
      </c>
      <c r="F209" s="9" t="s">
        <v>166</v>
      </c>
      <c r="G209" s="12" t="n">
        <v>3</v>
      </c>
      <c r="H209" s="7" t="n">
        <v>9</v>
      </c>
      <c r="I209" s="13" t="n">
        <f aca="false">G209+H209</f>
        <v>12</v>
      </c>
      <c r="J209" s="3" t="str">
        <f aca="false">IF(H209=9,IF(G209=9,"즉시 착수",IF(G209=3,"표준화 병행","선결 과제")),IF(H209=3,IF(G209=1,"보류","2단계 확장"),IF(G209=1,"제외","여력 시 수집")))</f>
        <v>표준화 병행</v>
      </c>
    </row>
    <row r="210" customFormat="false" ht="15" hidden="false" customHeight="false" outlineLevel="0" collapsed="false">
      <c r="A210" s="3" t="n">
        <v>209</v>
      </c>
      <c r="B210" s="3" t="s">
        <v>242</v>
      </c>
      <c r="C210" s="4" t="s">
        <v>243</v>
      </c>
      <c r="D210" s="5" t="s">
        <v>12</v>
      </c>
      <c r="E210" s="4" t="s">
        <v>258</v>
      </c>
      <c r="F210" s="9" t="s">
        <v>262</v>
      </c>
      <c r="G210" s="12" t="n">
        <v>3</v>
      </c>
      <c r="H210" s="12" t="n">
        <v>3</v>
      </c>
      <c r="I210" s="15" t="n">
        <f aca="false">G210+H210</f>
        <v>6</v>
      </c>
      <c r="J210" s="3" t="str">
        <f aca="false">IF(H210=9,IF(G210=9,"즉시 착수",IF(G210=3,"표준화 병행","선결 과제")),IF(H210=3,IF(G210=1,"보류","2단계 확장"),IF(G210=1,"제외","여력 시 수집")))</f>
        <v>2단계 확장</v>
      </c>
    </row>
    <row r="211" customFormat="false" ht="15" hidden="false" customHeight="false" outlineLevel="0" collapsed="false">
      <c r="A211" s="3" t="n">
        <v>210</v>
      </c>
      <c r="B211" s="3" t="s">
        <v>242</v>
      </c>
      <c r="C211" s="4" t="s">
        <v>243</v>
      </c>
      <c r="D211" s="5" t="s">
        <v>12</v>
      </c>
      <c r="E211" s="4" t="s">
        <v>258</v>
      </c>
      <c r="F211" s="9" t="s">
        <v>263</v>
      </c>
      <c r="G211" s="12" t="n">
        <v>3</v>
      </c>
      <c r="H211" s="7" t="n">
        <v>9</v>
      </c>
      <c r="I211" s="13" t="n">
        <f aca="false">G211+H211</f>
        <v>12</v>
      </c>
      <c r="J211" s="3" t="str">
        <f aca="false">IF(H211=9,IF(G211=9,"즉시 착수",IF(G211=3,"표준화 병행","선결 과제")),IF(H211=3,IF(G211=1,"보류","2단계 확장"),IF(G211=1,"제외","여력 시 수집")))</f>
        <v>표준화 병행</v>
      </c>
    </row>
    <row r="212" customFormat="false" ht="15" hidden="false" customHeight="false" outlineLevel="0" collapsed="false">
      <c r="A212" s="3" t="n">
        <v>211</v>
      </c>
      <c r="B212" s="3" t="s">
        <v>242</v>
      </c>
      <c r="C212" s="4" t="s">
        <v>243</v>
      </c>
      <c r="D212" s="5" t="s">
        <v>12</v>
      </c>
      <c r="E212" s="4" t="s">
        <v>264</v>
      </c>
      <c r="F212" s="9" t="s">
        <v>265</v>
      </c>
      <c r="G212" s="10" t="n">
        <v>1</v>
      </c>
      <c r="H212" s="10" t="n">
        <v>1</v>
      </c>
      <c r="I212" s="16" t="n">
        <f aca="false">G212+H212</f>
        <v>2</v>
      </c>
      <c r="J212" s="3" t="str">
        <f aca="false">IF(H212=9,IF(G212=9,"즉시 착수",IF(G212=3,"표준화 병행","선결 과제")),IF(H212=3,IF(G212=1,"보류","2단계 확장"),IF(G212=1,"제외","여력 시 수집")))</f>
        <v>제외</v>
      </c>
    </row>
    <row r="213" customFormat="false" ht="15" hidden="false" customHeight="false" outlineLevel="0" collapsed="false">
      <c r="A213" s="3" t="n">
        <v>212</v>
      </c>
      <c r="B213" s="3" t="s">
        <v>242</v>
      </c>
      <c r="C213" s="4" t="s">
        <v>243</v>
      </c>
      <c r="D213" s="5" t="s">
        <v>12</v>
      </c>
      <c r="E213" s="4" t="s">
        <v>264</v>
      </c>
      <c r="F213" s="9" t="s">
        <v>266</v>
      </c>
      <c r="G213" s="10" t="n">
        <v>1</v>
      </c>
      <c r="H213" s="10" t="n">
        <v>1</v>
      </c>
      <c r="I213" s="16" t="n">
        <f aca="false">G213+H213</f>
        <v>2</v>
      </c>
      <c r="J213" s="3" t="str">
        <f aca="false">IF(H213=9,IF(G213=9,"즉시 착수",IF(G213=3,"표준화 병행","선결 과제")),IF(H213=3,IF(G213=1,"보류","2단계 확장"),IF(G213=1,"제외","여력 시 수집")))</f>
        <v>제외</v>
      </c>
    </row>
    <row r="214" customFormat="false" ht="15" hidden="false" customHeight="false" outlineLevel="0" collapsed="false">
      <c r="A214" s="3" t="n">
        <v>213</v>
      </c>
      <c r="B214" s="3" t="s">
        <v>242</v>
      </c>
      <c r="C214" s="4" t="s">
        <v>243</v>
      </c>
      <c r="D214" s="5" t="s">
        <v>12</v>
      </c>
      <c r="E214" s="4" t="s">
        <v>264</v>
      </c>
      <c r="F214" s="9" t="s">
        <v>267</v>
      </c>
      <c r="G214" s="10" t="n">
        <v>1</v>
      </c>
      <c r="H214" s="10" t="n">
        <v>1</v>
      </c>
      <c r="I214" s="16" t="n">
        <f aca="false">G214+H214</f>
        <v>2</v>
      </c>
      <c r="J214" s="3" t="str">
        <f aca="false">IF(H214=9,IF(G214=9,"즉시 착수",IF(G214=3,"표준화 병행","선결 과제")),IF(H214=3,IF(G214=1,"보류","2단계 확장"),IF(G214=1,"제외","여력 시 수집")))</f>
        <v>제외</v>
      </c>
    </row>
    <row r="215" customFormat="false" ht="15" hidden="false" customHeight="false" outlineLevel="0" collapsed="false">
      <c r="A215" s="3" t="n">
        <v>214</v>
      </c>
      <c r="B215" s="3" t="s">
        <v>242</v>
      </c>
      <c r="C215" s="4" t="s">
        <v>243</v>
      </c>
      <c r="D215" s="5" t="s">
        <v>12</v>
      </c>
      <c r="E215" s="4" t="s">
        <v>264</v>
      </c>
      <c r="F215" s="9" t="s">
        <v>268</v>
      </c>
      <c r="G215" s="10" t="n">
        <v>1</v>
      </c>
      <c r="H215" s="10" t="n">
        <v>1</v>
      </c>
      <c r="I215" s="16" t="n">
        <f aca="false">G215+H215</f>
        <v>2</v>
      </c>
      <c r="J215" s="3" t="str">
        <f aca="false">IF(H215=9,IF(G215=9,"즉시 착수",IF(G215=3,"표준화 병행","선결 과제")),IF(H215=3,IF(G215=1,"보류","2단계 확장"),IF(G215=1,"제외","여력 시 수집")))</f>
        <v>제외</v>
      </c>
    </row>
    <row r="216" customFormat="false" ht="15" hidden="false" customHeight="false" outlineLevel="0" collapsed="false">
      <c r="A216" s="3" t="n">
        <v>215</v>
      </c>
      <c r="B216" s="3" t="s">
        <v>242</v>
      </c>
      <c r="C216" s="4" t="s">
        <v>243</v>
      </c>
      <c r="D216" s="5" t="s">
        <v>12</v>
      </c>
      <c r="E216" s="4" t="s">
        <v>264</v>
      </c>
      <c r="F216" s="9" t="s">
        <v>269</v>
      </c>
      <c r="G216" s="10" t="n">
        <v>1</v>
      </c>
      <c r="H216" s="10" t="n">
        <v>1</v>
      </c>
      <c r="I216" s="16" t="n">
        <f aca="false">G216+H216</f>
        <v>2</v>
      </c>
      <c r="J216" s="3" t="str">
        <f aca="false">IF(H216=9,IF(G216=9,"즉시 착수",IF(G216=3,"표준화 병행","선결 과제")),IF(H216=3,IF(G216=1,"보류","2단계 확장"),IF(G216=1,"제외","여력 시 수집")))</f>
        <v>제외</v>
      </c>
    </row>
    <row r="217" customFormat="false" ht="15" hidden="false" customHeight="false" outlineLevel="0" collapsed="false">
      <c r="A217" s="3" t="n">
        <v>216</v>
      </c>
      <c r="B217" s="3" t="s">
        <v>242</v>
      </c>
      <c r="C217" s="4" t="s">
        <v>243</v>
      </c>
      <c r="D217" s="5" t="s">
        <v>12</v>
      </c>
      <c r="E217" s="4" t="s">
        <v>264</v>
      </c>
      <c r="F217" s="9" t="s">
        <v>270</v>
      </c>
      <c r="G217" s="10" t="n">
        <v>1</v>
      </c>
      <c r="H217" s="10" t="n">
        <v>1</v>
      </c>
      <c r="I217" s="16" t="n">
        <f aca="false">G217+H217</f>
        <v>2</v>
      </c>
      <c r="J217" s="3" t="str">
        <f aca="false">IF(H217=9,IF(G217=9,"즉시 착수",IF(G217=3,"표준화 병행","선결 과제")),IF(H217=3,IF(G217=1,"보류","2단계 확장"),IF(G217=1,"제외","여력 시 수집")))</f>
        <v>제외</v>
      </c>
    </row>
    <row r="218" customFormat="false" ht="15" hidden="false" customHeight="false" outlineLevel="0" collapsed="false">
      <c r="A218" s="3" t="n">
        <v>217</v>
      </c>
      <c r="B218" s="3" t="s">
        <v>242</v>
      </c>
      <c r="C218" s="4" t="s">
        <v>243</v>
      </c>
      <c r="D218" s="5" t="s">
        <v>12</v>
      </c>
      <c r="E218" s="4" t="s">
        <v>271</v>
      </c>
      <c r="F218" s="9" t="s">
        <v>272</v>
      </c>
      <c r="G218" s="7" t="n">
        <v>9</v>
      </c>
      <c r="H218" s="12" t="n">
        <v>3</v>
      </c>
      <c r="I218" s="13" t="n">
        <f aca="false">G218+H218</f>
        <v>12</v>
      </c>
      <c r="J218" s="3" t="str">
        <f aca="false">IF(H218=9,IF(G218=9,"즉시 착수",IF(G218=3,"표준화 병행","선결 과제")),IF(H218=3,IF(G218=1,"보류","2단계 확장"),IF(G218=1,"제외","여력 시 수집")))</f>
        <v>2단계 확장</v>
      </c>
    </row>
    <row r="219" customFormat="false" ht="15" hidden="false" customHeight="false" outlineLevel="0" collapsed="false">
      <c r="A219" s="3" t="n">
        <v>218</v>
      </c>
      <c r="B219" s="3" t="s">
        <v>242</v>
      </c>
      <c r="C219" s="4" t="s">
        <v>243</v>
      </c>
      <c r="D219" s="5" t="s">
        <v>12</v>
      </c>
      <c r="E219" s="4" t="s">
        <v>271</v>
      </c>
      <c r="F219" s="9" t="s">
        <v>273</v>
      </c>
      <c r="G219" s="7" t="n">
        <v>9</v>
      </c>
      <c r="H219" s="12" t="n">
        <v>3</v>
      </c>
      <c r="I219" s="13" t="n">
        <f aca="false">G219+H219</f>
        <v>12</v>
      </c>
      <c r="J219" s="3" t="str">
        <f aca="false">IF(H219=9,IF(G219=9,"즉시 착수",IF(G219=3,"표준화 병행","선결 과제")),IF(H219=3,IF(G219=1,"보류","2단계 확장"),IF(G219=1,"제외","여력 시 수집")))</f>
        <v>2단계 확장</v>
      </c>
    </row>
    <row r="220" customFormat="false" ht="15" hidden="false" customHeight="false" outlineLevel="0" collapsed="false">
      <c r="A220" s="3" t="n">
        <v>219</v>
      </c>
      <c r="B220" s="3" t="s">
        <v>242</v>
      </c>
      <c r="C220" s="4" t="s">
        <v>243</v>
      </c>
      <c r="D220" s="5" t="s">
        <v>12</v>
      </c>
      <c r="E220" s="4" t="s">
        <v>271</v>
      </c>
      <c r="F220" s="9" t="s">
        <v>274</v>
      </c>
      <c r="G220" s="7" t="n">
        <v>9</v>
      </c>
      <c r="H220" s="12" t="n">
        <v>3</v>
      </c>
      <c r="I220" s="13" t="n">
        <f aca="false">G220+H220</f>
        <v>12</v>
      </c>
      <c r="J220" s="3" t="str">
        <f aca="false">IF(H220=9,IF(G220=9,"즉시 착수",IF(G220=3,"표준화 병행","선결 과제")),IF(H220=3,IF(G220=1,"보류","2단계 확장"),IF(G220=1,"제외","여력 시 수집")))</f>
        <v>2단계 확장</v>
      </c>
    </row>
    <row r="221" customFormat="false" ht="15" hidden="false" customHeight="false" outlineLevel="0" collapsed="false">
      <c r="A221" s="3" t="n">
        <v>220</v>
      </c>
      <c r="B221" s="3" t="s">
        <v>242</v>
      </c>
      <c r="C221" s="4" t="s">
        <v>243</v>
      </c>
      <c r="D221" s="5" t="s">
        <v>12</v>
      </c>
      <c r="E221" s="4" t="s">
        <v>271</v>
      </c>
      <c r="F221" s="9" t="s">
        <v>275</v>
      </c>
      <c r="G221" s="7" t="n">
        <v>9</v>
      </c>
      <c r="H221" s="12" t="n">
        <v>3</v>
      </c>
      <c r="I221" s="13" t="n">
        <f aca="false">G221+H221</f>
        <v>12</v>
      </c>
      <c r="J221" s="3" t="str">
        <f aca="false">IF(H221=9,IF(G221=9,"즉시 착수",IF(G221=3,"표준화 병행","선결 과제")),IF(H221=3,IF(G221=1,"보류","2단계 확장"),IF(G221=1,"제외","여력 시 수집")))</f>
        <v>2단계 확장</v>
      </c>
    </row>
    <row r="222" customFormat="false" ht="15" hidden="false" customHeight="false" outlineLevel="0" collapsed="false">
      <c r="A222" s="3" t="n">
        <v>221</v>
      </c>
      <c r="B222" s="3" t="s">
        <v>242</v>
      </c>
      <c r="C222" s="4" t="s">
        <v>243</v>
      </c>
      <c r="D222" s="5" t="s">
        <v>12</v>
      </c>
      <c r="E222" s="4" t="s">
        <v>271</v>
      </c>
      <c r="F222" s="9" t="s">
        <v>276</v>
      </c>
      <c r="G222" s="7" t="n">
        <v>9</v>
      </c>
      <c r="H222" s="12" t="n">
        <v>3</v>
      </c>
      <c r="I222" s="13" t="n">
        <f aca="false">G222+H222</f>
        <v>12</v>
      </c>
      <c r="J222" s="3" t="str">
        <f aca="false">IF(H222=9,IF(G222=9,"즉시 착수",IF(G222=3,"표준화 병행","선결 과제")),IF(H222=3,IF(G222=1,"보류","2단계 확장"),IF(G222=1,"제외","여력 시 수집")))</f>
        <v>2단계 확장</v>
      </c>
    </row>
    <row r="223" customFormat="false" ht="15" hidden="false" customHeight="false" outlineLevel="0" collapsed="false">
      <c r="A223" s="3" t="n">
        <v>222</v>
      </c>
      <c r="B223" s="3" t="s">
        <v>242</v>
      </c>
      <c r="C223" s="4" t="s">
        <v>243</v>
      </c>
      <c r="D223" s="5" t="s">
        <v>12</v>
      </c>
      <c r="E223" s="4" t="s">
        <v>271</v>
      </c>
      <c r="F223" s="9" t="s">
        <v>277</v>
      </c>
      <c r="G223" s="7" t="n">
        <v>9</v>
      </c>
      <c r="H223" s="12" t="n">
        <v>3</v>
      </c>
      <c r="I223" s="13" t="n">
        <f aca="false">G223+H223</f>
        <v>12</v>
      </c>
      <c r="J223" s="3" t="str">
        <f aca="false">IF(H223=9,IF(G223=9,"즉시 착수",IF(G223=3,"표준화 병행","선결 과제")),IF(H223=3,IF(G223=1,"보류","2단계 확장"),IF(G223=1,"제외","여력 시 수집")))</f>
        <v>2단계 확장</v>
      </c>
    </row>
    <row r="224" customFormat="false" ht="15" hidden="false" customHeight="false" outlineLevel="0" collapsed="false">
      <c r="A224" s="3" t="n">
        <v>223</v>
      </c>
      <c r="B224" s="3" t="s">
        <v>242</v>
      </c>
      <c r="C224" s="4" t="s">
        <v>243</v>
      </c>
      <c r="D224" s="5" t="s">
        <v>12</v>
      </c>
      <c r="E224" s="4" t="s">
        <v>278</v>
      </c>
      <c r="F224" s="9" t="s">
        <v>279</v>
      </c>
      <c r="G224" s="10" t="n">
        <v>1</v>
      </c>
      <c r="H224" s="7" t="n">
        <v>9</v>
      </c>
      <c r="I224" s="11" t="n">
        <f aca="false">G224+H224</f>
        <v>10</v>
      </c>
      <c r="J224" s="3" t="str">
        <f aca="false">IF(H224=9,IF(G224=9,"즉시 착수",IF(G224=3,"표준화 병행","선결 과제")),IF(H224=3,IF(G224=1,"보류","2단계 확장"),IF(G224=1,"제외","여력 시 수집")))</f>
        <v>선결 과제</v>
      </c>
    </row>
    <row r="225" customFormat="false" ht="15" hidden="false" customHeight="false" outlineLevel="0" collapsed="false">
      <c r="A225" s="3" t="n">
        <v>224</v>
      </c>
      <c r="B225" s="3" t="s">
        <v>242</v>
      </c>
      <c r="C225" s="4" t="s">
        <v>243</v>
      </c>
      <c r="D225" s="5" t="s">
        <v>12</v>
      </c>
      <c r="E225" s="4" t="s">
        <v>278</v>
      </c>
      <c r="F225" s="9" t="s">
        <v>280</v>
      </c>
      <c r="G225" s="10" t="n">
        <v>1</v>
      </c>
      <c r="H225" s="7" t="n">
        <v>9</v>
      </c>
      <c r="I225" s="11" t="n">
        <f aca="false">G225+H225</f>
        <v>10</v>
      </c>
      <c r="J225" s="3" t="str">
        <f aca="false">IF(H225=9,IF(G225=9,"즉시 착수",IF(G225=3,"표준화 병행","선결 과제")),IF(H225=3,IF(G225=1,"보류","2단계 확장"),IF(G225=1,"제외","여력 시 수집")))</f>
        <v>선결 과제</v>
      </c>
    </row>
    <row r="226" customFormat="false" ht="15" hidden="false" customHeight="false" outlineLevel="0" collapsed="false">
      <c r="A226" s="3" t="n">
        <v>225</v>
      </c>
      <c r="B226" s="3" t="s">
        <v>242</v>
      </c>
      <c r="C226" s="4" t="s">
        <v>243</v>
      </c>
      <c r="D226" s="5" t="s">
        <v>12</v>
      </c>
      <c r="E226" s="4" t="s">
        <v>278</v>
      </c>
      <c r="F226" s="9" t="s">
        <v>281</v>
      </c>
      <c r="G226" s="10" t="n">
        <v>1</v>
      </c>
      <c r="H226" s="7" t="n">
        <v>9</v>
      </c>
      <c r="I226" s="11" t="n">
        <f aca="false">G226+H226</f>
        <v>10</v>
      </c>
      <c r="J226" s="3" t="str">
        <f aca="false">IF(H226=9,IF(G226=9,"즉시 착수",IF(G226=3,"표준화 병행","선결 과제")),IF(H226=3,IF(G226=1,"보류","2단계 확장"),IF(G226=1,"제외","여력 시 수집")))</f>
        <v>선결 과제</v>
      </c>
    </row>
    <row r="227" customFormat="false" ht="15" hidden="false" customHeight="false" outlineLevel="0" collapsed="false">
      <c r="A227" s="3" t="n">
        <v>226</v>
      </c>
      <c r="B227" s="3" t="s">
        <v>242</v>
      </c>
      <c r="C227" s="4" t="s">
        <v>243</v>
      </c>
      <c r="D227" s="5" t="s">
        <v>12</v>
      </c>
      <c r="E227" s="4" t="s">
        <v>278</v>
      </c>
      <c r="F227" s="9" t="s">
        <v>282</v>
      </c>
      <c r="G227" s="10" t="n">
        <v>1</v>
      </c>
      <c r="H227" s="7" t="n">
        <v>9</v>
      </c>
      <c r="I227" s="11" t="n">
        <f aca="false">G227+H227</f>
        <v>10</v>
      </c>
      <c r="J227" s="3" t="str">
        <f aca="false">IF(H227=9,IF(G227=9,"즉시 착수",IF(G227=3,"표준화 병행","선결 과제")),IF(H227=3,IF(G227=1,"보류","2단계 확장"),IF(G227=1,"제외","여력 시 수집")))</f>
        <v>선결 과제</v>
      </c>
    </row>
    <row r="228" customFormat="false" ht="15" hidden="false" customHeight="false" outlineLevel="0" collapsed="false">
      <c r="A228" s="3" t="n">
        <v>227</v>
      </c>
      <c r="B228" s="3" t="s">
        <v>242</v>
      </c>
      <c r="C228" s="4" t="s">
        <v>243</v>
      </c>
      <c r="D228" s="5" t="s">
        <v>12</v>
      </c>
      <c r="E228" s="4" t="s">
        <v>278</v>
      </c>
      <c r="F228" s="9" t="s">
        <v>283</v>
      </c>
      <c r="G228" s="10" t="n">
        <v>1</v>
      </c>
      <c r="H228" s="7" t="n">
        <v>9</v>
      </c>
      <c r="I228" s="11" t="n">
        <f aca="false">G228+H228</f>
        <v>10</v>
      </c>
      <c r="J228" s="3" t="str">
        <f aca="false">IF(H228=9,IF(G228=9,"즉시 착수",IF(G228=3,"표준화 병행","선결 과제")),IF(H228=3,IF(G228=1,"보류","2단계 확장"),IF(G228=1,"제외","여력 시 수집")))</f>
        <v>선결 과제</v>
      </c>
    </row>
    <row r="229" customFormat="false" ht="15" hidden="false" customHeight="false" outlineLevel="0" collapsed="false">
      <c r="A229" s="3" t="n">
        <v>228</v>
      </c>
      <c r="B229" s="3" t="s">
        <v>242</v>
      </c>
      <c r="C229" s="4" t="s">
        <v>243</v>
      </c>
      <c r="D229" s="5" t="s">
        <v>12</v>
      </c>
      <c r="E229" s="4" t="s">
        <v>278</v>
      </c>
      <c r="F229" s="9" t="s">
        <v>284</v>
      </c>
      <c r="G229" s="10" t="n">
        <v>1</v>
      </c>
      <c r="H229" s="12" t="n">
        <v>3</v>
      </c>
      <c r="I229" s="14" t="n">
        <f aca="false">G229+H229</f>
        <v>4</v>
      </c>
      <c r="J229" s="3" t="str">
        <f aca="false">IF(H229=9,IF(G229=9,"즉시 착수",IF(G229=3,"표준화 병행","선결 과제")),IF(H229=3,IF(G229=1,"보류","2단계 확장"),IF(G229=1,"제외","여력 시 수집")))</f>
        <v>보류</v>
      </c>
    </row>
    <row r="230" customFormat="false" ht="15" hidden="false" customHeight="false" outlineLevel="0" collapsed="false">
      <c r="A230" s="3" t="n">
        <v>229</v>
      </c>
      <c r="B230" s="3" t="s">
        <v>242</v>
      </c>
      <c r="C230" s="4" t="s">
        <v>243</v>
      </c>
      <c r="D230" s="5" t="s">
        <v>12</v>
      </c>
      <c r="E230" s="4" t="s">
        <v>285</v>
      </c>
      <c r="F230" s="9" t="s">
        <v>286</v>
      </c>
      <c r="G230" s="12" t="n">
        <v>3</v>
      </c>
      <c r="H230" s="7" t="n">
        <v>9</v>
      </c>
      <c r="I230" s="13" t="n">
        <f aca="false">G230+H230</f>
        <v>12</v>
      </c>
      <c r="J230" s="3" t="str">
        <f aca="false">IF(H230=9,IF(G230=9,"즉시 착수",IF(G230=3,"표준화 병행","선결 과제")),IF(H230=3,IF(G230=1,"보류","2단계 확장"),IF(G230=1,"제외","여력 시 수집")))</f>
        <v>표준화 병행</v>
      </c>
    </row>
    <row r="231" customFormat="false" ht="15" hidden="false" customHeight="false" outlineLevel="0" collapsed="false">
      <c r="A231" s="3" t="n">
        <v>230</v>
      </c>
      <c r="B231" s="3" t="s">
        <v>242</v>
      </c>
      <c r="C231" s="4" t="s">
        <v>243</v>
      </c>
      <c r="D231" s="5" t="s">
        <v>12</v>
      </c>
      <c r="E231" s="4" t="s">
        <v>285</v>
      </c>
      <c r="F231" s="9" t="s">
        <v>287</v>
      </c>
      <c r="G231" s="12" t="n">
        <v>3</v>
      </c>
      <c r="H231" s="7" t="n">
        <v>9</v>
      </c>
      <c r="I231" s="13" t="n">
        <f aca="false">G231+H231</f>
        <v>12</v>
      </c>
      <c r="J231" s="3" t="str">
        <f aca="false">IF(H231=9,IF(G231=9,"즉시 착수",IF(G231=3,"표준화 병행","선결 과제")),IF(H231=3,IF(G231=1,"보류","2단계 확장"),IF(G231=1,"제외","여력 시 수집")))</f>
        <v>표준화 병행</v>
      </c>
    </row>
    <row r="232" customFormat="false" ht="15" hidden="false" customHeight="false" outlineLevel="0" collapsed="false">
      <c r="A232" s="3" t="n">
        <v>231</v>
      </c>
      <c r="B232" s="3" t="s">
        <v>242</v>
      </c>
      <c r="C232" s="4" t="s">
        <v>243</v>
      </c>
      <c r="D232" s="5" t="s">
        <v>12</v>
      </c>
      <c r="E232" s="4" t="s">
        <v>285</v>
      </c>
      <c r="F232" s="9" t="s">
        <v>288</v>
      </c>
      <c r="G232" s="10" t="n">
        <v>1</v>
      </c>
      <c r="H232" s="7" t="n">
        <v>9</v>
      </c>
      <c r="I232" s="11" t="n">
        <f aca="false">G232+H232</f>
        <v>10</v>
      </c>
      <c r="J232" s="3" t="str">
        <f aca="false">IF(H232=9,IF(G232=9,"즉시 착수",IF(G232=3,"표준화 병행","선결 과제")),IF(H232=3,IF(G232=1,"보류","2단계 확장"),IF(G232=1,"제외","여력 시 수집")))</f>
        <v>선결 과제</v>
      </c>
    </row>
    <row r="233" customFormat="false" ht="15" hidden="false" customHeight="false" outlineLevel="0" collapsed="false">
      <c r="A233" s="3" t="n">
        <v>232</v>
      </c>
      <c r="B233" s="3" t="s">
        <v>242</v>
      </c>
      <c r="C233" s="4" t="s">
        <v>243</v>
      </c>
      <c r="D233" s="5" t="s">
        <v>12</v>
      </c>
      <c r="E233" s="4" t="s">
        <v>285</v>
      </c>
      <c r="F233" s="9" t="s">
        <v>289</v>
      </c>
      <c r="G233" s="12" t="n">
        <v>3</v>
      </c>
      <c r="H233" s="7" t="n">
        <v>9</v>
      </c>
      <c r="I233" s="13" t="n">
        <f aca="false">G233+H233</f>
        <v>12</v>
      </c>
      <c r="J233" s="3" t="str">
        <f aca="false">IF(H233=9,IF(G233=9,"즉시 착수",IF(G233=3,"표준화 병행","선결 과제")),IF(H233=3,IF(G233=1,"보류","2단계 확장"),IF(G233=1,"제외","여력 시 수집")))</f>
        <v>표준화 병행</v>
      </c>
    </row>
    <row r="234" customFormat="false" ht="15" hidden="false" customHeight="false" outlineLevel="0" collapsed="false">
      <c r="A234" s="3" t="n">
        <v>233</v>
      </c>
      <c r="B234" s="3" t="s">
        <v>242</v>
      </c>
      <c r="C234" s="4" t="s">
        <v>243</v>
      </c>
      <c r="D234" s="5" t="s">
        <v>12</v>
      </c>
      <c r="E234" s="4" t="s">
        <v>285</v>
      </c>
      <c r="F234" s="9" t="s">
        <v>290</v>
      </c>
      <c r="G234" s="12" t="n">
        <v>3</v>
      </c>
      <c r="H234" s="7" t="n">
        <v>9</v>
      </c>
      <c r="I234" s="13" t="n">
        <f aca="false">G234+H234</f>
        <v>12</v>
      </c>
      <c r="J234" s="3" t="str">
        <f aca="false">IF(H234=9,IF(G234=9,"즉시 착수",IF(G234=3,"표준화 병행","선결 과제")),IF(H234=3,IF(G234=1,"보류","2단계 확장"),IF(G234=1,"제외","여력 시 수집")))</f>
        <v>표준화 병행</v>
      </c>
    </row>
    <row r="235" customFormat="false" ht="15" hidden="false" customHeight="false" outlineLevel="0" collapsed="false">
      <c r="A235" s="3" t="n">
        <v>234</v>
      </c>
      <c r="B235" s="3" t="s">
        <v>242</v>
      </c>
      <c r="C235" s="4" t="s">
        <v>243</v>
      </c>
      <c r="D235" s="5" t="s">
        <v>12</v>
      </c>
      <c r="E235" s="4" t="s">
        <v>285</v>
      </c>
      <c r="F235" s="9" t="s">
        <v>291</v>
      </c>
      <c r="G235" s="12" t="n">
        <v>3</v>
      </c>
      <c r="H235" s="12" t="n">
        <v>3</v>
      </c>
      <c r="I235" s="15" t="n">
        <f aca="false">G235+H235</f>
        <v>6</v>
      </c>
      <c r="J235" s="3" t="str">
        <f aca="false">IF(H235=9,IF(G235=9,"즉시 착수",IF(G235=3,"표준화 병행","선결 과제")),IF(H235=3,IF(G235=1,"보류","2단계 확장"),IF(G235=1,"제외","여력 시 수집")))</f>
        <v>2단계 확장</v>
      </c>
    </row>
    <row r="236" customFormat="false" ht="15" hidden="false" customHeight="false" outlineLevel="0" collapsed="false">
      <c r="A236" s="3" t="n">
        <v>235</v>
      </c>
      <c r="B236" s="3" t="s">
        <v>242</v>
      </c>
      <c r="C236" s="4" t="s">
        <v>243</v>
      </c>
      <c r="D236" s="5" t="s">
        <v>12</v>
      </c>
      <c r="E236" s="17" t="s">
        <v>292</v>
      </c>
      <c r="F236" s="9" t="s">
        <v>293</v>
      </c>
      <c r="G236" s="10" t="n">
        <v>1</v>
      </c>
      <c r="H236" s="7" t="n">
        <v>9</v>
      </c>
      <c r="I236" s="11" t="n">
        <f aca="false">G236+H236</f>
        <v>10</v>
      </c>
      <c r="J236" s="3" t="str">
        <f aca="false">IF(H236=9,IF(G236=9,"즉시 착수",IF(G236=3,"표준화 병행","선결 과제")),IF(H236=3,IF(G236=1,"보류","2단계 확장"),IF(G236=1,"제외","여력 시 수집")))</f>
        <v>선결 과제</v>
      </c>
    </row>
    <row r="237" customFormat="false" ht="15" hidden="false" customHeight="false" outlineLevel="0" collapsed="false">
      <c r="A237" s="3" t="n">
        <v>236</v>
      </c>
      <c r="B237" s="3" t="s">
        <v>242</v>
      </c>
      <c r="C237" s="4" t="s">
        <v>243</v>
      </c>
      <c r="D237" s="5" t="s">
        <v>12</v>
      </c>
      <c r="E237" s="17" t="s">
        <v>292</v>
      </c>
      <c r="F237" s="9" t="s">
        <v>294</v>
      </c>
      <c r="G237" s="12" t="n">
        <v>3</v>
      </c>
      <c r="H237" s="7" t="n">
        <v>9</v>
      </c>
      <c r="I237" s="13" t="n">
        <f aca="false">G237+H237</f>
        <v>12</v>
      </c>
      <c r="J237" s="3" t="str">
        <f aca="false">IF(H237=9,IF(G237=9,"즉시 착수",IF(G237=3,"표준화 병행","선결 과제")),IF(H237=3,IF(G237=1,"보류","2단계 확장"),IF(G237=1,"제외","여력 시 수집")))</f>
        <v>표준화 병행</v>
      </c>
    </row>
    <row r="238" customFormat="false" ht="15" hidden="false" customHeight="false" outlineLevel="0" collapsed="false">
      <c r="A238" s="3" t="n">
        <v>237</v>
      </c>
      <c r="B238" s="3" t="s">
        <v>242</v>
      </c>
      <c r="C238" s="4" t="s">
        <v>243</v>
      </c>
      <c r="D238" s="5" t="s">
        <v>12</v>
      </c>
      <c r="E238" s="17" t="s">
        <v>292</v>
      </c>
      <c r="F238" s="9" t="s">
        <v>295</v>
      </c>
      <c r="G238" s="10" t="n">
        <v>1</v>
      </c>
      <c r="H238" s="12" t="n">
        <v>3</v>
      </c>
      <c r="I238" s="14" t="n">
        <f aca="false">G238+H238</f>
        <v>4</v>
      </c>
      <c r="J238" s="3" t="str">
        <f aca="false">IF(H238=9,IF(G238=9,"즉시 착수",IF(G238=3,"표준화 병행","선결 과제")),IF(H238=3,IF(G238=1,"보류","2단계 확장"),IF(G238=1,"제외","여력 시 수집")))</f>
        <v>보류</v>
      </c>
    </row>
    <row r="239" customFormat="false" ht="15" hidden="false" customHeight="false" outlineLevel="0" collapsed="false">
      <c r="A239" s="3" t="n">
        <v>238</v>
      </c>
      <c r="B239" s="3" t="s">
        <v>242</v>
      </c>
      <c r="C239" s="4" t="s">
        <v>243</v>
      </c>
      <c r="D239" s="5" t="s">
        <v>12</v>
      </c>
      <c r="E239" s="17" t="s">
        <v>292</v>
      </c>
      <c r="F239" s="9" t="s">
        <v>296</v>
      </c>
      <c r="G239" s="12" t="n">
        <v>3</v>
      </c>
      <c r="H239" s="7" t="n">
        <v>9</v>
      </c>
      <c r="I239" s="13" t="n">
        <f aca="false">G239+H239</f>
        <v>12</v>
      </c>
      <c r="J239" s="3" t="str">
        <f aca="false">IF(H239=9,IF(G239=9,"즉시 착수",IF(G239=3,"표준화 병행","선결 과제")),IF(H239=3,IF(G239=1,"보류","2단계 확장"),IF(G239=1,"제외","여력 시 수집")))</f>
        <v>표준화 병행</v>
      </c>
    </row>
    <row r="240" customFormat="false" ht="15" hidden="false" customHeight="false" outlineLevel="0" collapsed="false">
      <c r="A240" s="3" t="n">
        <v>239</v>
      </c>
      <c r="B240" s="3" t="s">
        <v>242</v>
      </c>
      <c r="C240" s="4" t="s">
        <v>243</v>
      </c>
      <c r="D240" s="5" t="s">
        <v>12</v>
      </c>
      <c r="E240" s="17" t="s">
        <v>292</v>
      </c>
      <c r="F240" s="9" t="s">
        <v>297</v>
      </c>
      <c r="G240" s="12" t="n">
        <v>3</v>
      </c>
      <c r="H240" s="7" t="n">
        <v>9</v>
      </c>
      <c r="I240" s="13" t="n">
        <f aca="false">G240+H240</f>
        <v>12</v>
      </c>
      <c r="J240" s="3" t="str">
        <f aca="false">IF(H240=9,IF(G240=9,"즉시 착수",IF(G240=3,"표준화 병행","선결 과제")),IF(H240=3,IF(G240=1,"보류","2단계 확장"),IF(G240=1,"제외","여력 시 수집")))</f>
        <v>표준화 병행</v>
      </c>
    </row>
    <row r="241" customFormat="false" ht="15" hidden="false" customHeight="false" outlineLevel="0" collapsed="false">
      <c r="A241" s="3" t="n">
        <v>240</v>
      </c>
      <c r="B241" s="3" t="s">
        <v>242</v>
      </c>
      <c r="C241" s="4" t="s">
        <v>243</v>
      </c>
      <c r="D241" s="5" t="s">
        <v>12</v>
      </c>
      <c r="E241" s="17" t="s">
        <v>292</v>
      </c>
      <c r="F241" s="9" t="s">
        <v>298</v>
      </c>
      <c r="G241" s="12" t="n">
        <v>3</v>
      </c>
      <c r="H241" s="7" t="n">
        <v>9</v>
      </c>
      <c r="I241" s="13" t="n">
        <f aca="false">G241+H241</f>
        <v>12</v>
      </c>
      <c r="J241" s="3" t="str">
        <f aca="false">IF(H241=9,IF(G241=9,"즉시 착수",IF(G241=3,"표준화 병행","선결 과제")),IF(H241=3,IF(G241=1,"보류","2단계 확장"),IF(G241=1,"제외","여력 시 수집")))</f>
        <v>표준화 병행</v>
      </c>
    </row>
    <row r="242" customFormat="false" ht="15" hidden="false" customHeight="false" outlineLevel="0" collapsed="false">
      <c r="A242" s="3" t="n">
        <v>241</v>
      </c>
      <c r="B242" s="3" t="s">
        <v>299</v>
      </c>
      <c r="C242" s="4" t="s">
        <v>300</v>
      </c>
      <c r="D242" s="5" t="s">
        <v>301</v>
      </c>
      <c r="E242" s="4" t="s">
        <v>302</v>
      </c>
      <c r="F242" s="9" t="s">
        <v>303</v>
      </c>
      <c r="G242" s="12" t="n">
        <v>3</v>
      </c>
      <c r="H242" s="12" t="n">
        <v>3</v>
      </c>
      <c r="I242" s="15" t="n">
        <f aca="false">G242+H242</f>
        <v>6</v>
      </c>
      <c r="J242" s="3" t="str">
        <f aca="false">IF(H242=9,IF(G242=9,"즉시 착수",IF(G242=3,"표준화 병행","선결 과제")),IF(H242=3,IF(G242=1,"보류","2단계 확장"),IF(G242=1,"제외","여력 시 수집")))</f>
        <v>2단계 확장</v>
      </c>
    </row>
    <row r="243" customFormat="false" ht="15" hidden="false" customHeight="false" outlineLevel="0" collapsed="false">
      <c r="A243" s="3" t="n">
        <v>242</v>
      </c>
      <c r="B243" s="3" t="s">
        <v>299</v>
      </c>
      <c r="C243" s="4" t="s">
        <v>300</v>
      </c>
      <c r="D243" s="5" t="s">
        <v>301</v>
      </c>
      <c r="E243" s="4" t="s">
        <v>302</v>
      </c>
      <c r="F243" s="9" t="s">
        <v>304</v>
      </c>
      <c r="G243" s="12" t="n">
        <v>3</v>
      </c>
      <c r="H243" s="12" t="n">
        <v>3</v>
      </c>
      <c r="I243" s="15" t="n">
        <f aca="false">G243+H243</f>
        <v>6</v>
      </c>
      <c r="J243" s="3" t="str">
        <f aca="false">IF(H243=9,IF(G243=9,"즉시 착수",IF(G243=3,"표준화 병행","선결 과제")),IF(H243=3,IF(G243=1,"보류","2단계 확장"),IF(G243=1,"제외","여력 시 수집")))</f>
        <v>2단계 확장</v>
      </c>
    </row>
    <row r="244" customFormat="false" ht="15" hidden="false" customHeight="false" outlineLevel="0" collapsed="false">
      <c r="A244" s="3" t="n">
        <v>243</v>
      </c>
      <c r="B244" s="3" t="s">
        <v>299</v>
      </c>
      <c r="C244" s="4" t="s">
        <v>300</v>
      </c>
      <c r="D244" s="5" t="s">
        <v>301</v>
      </c>
      <c r="E244" s="4" t="s">
        <v>302</v>
      </c>
      <c r="F244" s="9" t="s">
        <v>305</v>
      </c>
      <c r="G244" s="12" t="n">
        <v>3</v>
      </c>
      <c r="H244" s="12" t="n">
        <v>3</v>
      </c>
      <c r="I244" s="15" t="n">
        <f aca="false">G244+H244</f>
        <v>6</v>
      </c>
      <c r="J244" s="3" t="str">
        <f aca="false">IF(H244=9,IF(G244=9,"즉시 착수",IF(G244=3,"표준화 병행","선결 과제")),IF(H244=3,IF(G244=1,"보류","2단계 확장"),IF(G244=1,"제외","여력 시 수집")))</f>
        <v>2단계 확장</v>
      </c>
    </row>
    <row r="245" customFormat="false" ht="15" hidden="false" customHeight="false" outlineLevel="0" collapsed="false">
      <c r="A245" s="3" t="n">
        <v>244</v>
      </c>
      <c r="B245" s="3" t="s">
        <v>299</v>
      </c>
      <c r="C245" s="4" t="s">
        <v>300</v>
      </c>
      <c r="D245" s="5" t="s">
        <v>301</v>
      </c>
      <c r="E245" s="4" t="s">
        <v>302</v>
      </c>
      <c r="F245" s="9" t="s">
        <v>306</v>
      </c>
      <c r="G245" s="12" t="n">
        <v>3</v>
      </c>
      <c r="H245" s="12" t="n">
        <v>3</v>
      </c>
      <c r="I245" s="15" t="n">
        <f aca="false">G245+H245</f>
        <v>6</v>
      </c>
      <c r="J245" s="3" t="str">
        <f aca="false">IF(H245=9,IF(G245=9,"즉시 착수",IF(G245=3,"표준화 병행","선결 과제")),IF(H245=3,IF(G245=1,"보류","2단계 확장"),IF(G245=1,"제외","여력 시 수집")))</f>
        <v>2단계 확장</v>
      </c>
    </row>
    <row r="246" customFormat="false" ht="15" hidden="false" customHeight="false" outlineLevel="0" collapsed="false">
      <c r="A246" s="3" t="n">
        <v>245</v>
      </c>
      <c r="B246" s="3" t="s">
        <v>299</v>
      </c>
      <c r="C246" s="4" t="s">
        <v>300</v>
      </c>
      <c r="D246" s="5" t="s">
        <v>301</v>
      </c>
      <c r="E246" s="4" t="s">
        <v>302</v>
      </c>
      <c r="F246" s="9" t="s">
        <v>307</v>
      </c>
      <c r="G246" s="12" t="n">
        <v>3</v>
      </c>
      <c r="H246" s="12" t="n">
        <v>3</v>
      </c>
      <c r="I246" s="15" t="n">
        <f aca="false">G246+H246</f>
        <v>6</v>
      </c>
      <c r="J246" s="3" t="str">
        <f aca="false">IF(H246=9,IF(G246=9,"즉시 착수",IF(G246=3,"표준화 병행","선결 과제")),IF(H246=3,IF(G246=1,"보류","2단계 확장"),IF(G246=1,"제외","여력 시 수집")))</f>
        <v>2단계 확장</v>
      </c>
    </row>
    <row r="247" customFormat="false" ht="15" hidden="false" customHeight="false" outlineLevel="0" collapsed="false">
      <c r="A247" s="3" t="n">
        <v>246</v>
      </c>
      <c r="B247" s="3" t="s">
        <v>299</v>
      </c>
      <c r="C247" s="4" t="s">
        <v>300</v>
      </c>
      <c r="D247" s="5" t="s">
        <v>301</v>
      </c>
      <c r="E247" s="4" t="s">
        <v>302</v>
      </c>
      <c r="F247" s="9" t="s">
        <v>308</v>
      </c>
      <c r="G247" s="12" t="n">
        <v>3</v>
      </c>
      <c r="H247" s="12" t="n">
        <v>3</v>
      </c>
      <c r="I247" s="15" t="n">
        <f aca="false">G247+H247</f>
        <v>6</v>
      </c>
      <c r="J247" s="3" t="str">
        <f aca="false">IF(H247=9,IF(G247=9,"즉시 착수",IF(G247=3,"표준화 병행","선결 과제")),IF(H247=3,IF(G247=1,"보류","2단계 확장"),IF(G247=1,"제외","여력 시 수집")))</f>
        <v>2단계 확장</v>
      </c>
    </row>
    <row r="248" customFormat="false" ht="15" hidden="false" customHeight="false" outlineLevel="0" collapsed="false">
      <c r="A248" s="3" t="n">
        <v>247</v>
      </c>
      <c r="B248" s="3" t="s">
        <v>299</v>
      </c>
      <c r="C248" s="4" t="s">
        <v>300</v>
      </c>
      <c r="D248" s="5" t="s">
        <v>301</v>
      </c>
      <c r="E248" s="4" t="s">
        <v>309</v>
      </c>
      <c r="F248" s="9" t="s">
        <v>310</v>
      </c>
      <c r="G248" s="10" t="n">
        <v>1</v>
      </c>
      <c r="H248" s="7" t="n">
        <v>9</v>
      </c>
      <c r="I248" s="11" t="n">
        <f aca="false">G248+H248</f>
        <v>10</v>
      </c>
      <c r="J248" s="3" t="str">
        <f aca="false">IF(H248=9,IF(G248=9,"즉시 착수",IF(G248=3,"표준화 병행","선결 과제")),IF(H248=3,IF(G248=1,"보류","2단계 확장"),IF(G248=1,"제외","여력 시 수집")))</f>
        <v>선결 과제</v>
      </c>
    </row>
    <row r="249" customFormat="false" ht="15" hidden="false" customHeight="false" outlineLevel="0" collapsed="false">
      <c r="A249" s="3" t="n">
        <v>248</v>
      </c>
      <c r="B249" s="3" t="s">
        <v>299</v>
      </c>
      <c r="C249" s="4" t="s">
        <v>300</v>
      </c>
      <c r="D249" s="5" t="s">
        <v>301</v>
      </c>
      <c r="E249" s="4" t="s">
        <v>309</v>
      </c>
      <c r="F249" s="9" t="s">
        <v>311</v>
      </c>
      <c r="G249" s="10" t="n">
        <v>1</v>
      </c>
      <c r="H249" s="7" t="n">
        <v>9</v>
      </c>
      <c r="I249" s="11" t="n">
        <f aca="false">G249+H249</f>
        <v>10</v>
      </c>
      <c r="J249" s="3" t="str">
        <f aca="false">IF(H249=9,IF(G249=9,"즉시 착수",IF(G249=3,"표준화 병행","선결 과제")),IF(H249=3,IF(G249=1,"보류","2단계 확장"),IF(G249=1,"제외","여력 시 수집")))</f>
        <v>선결 과제</v>
      </c>
    </row>
    <row r="250" customFormat="false" ht="15" hidden="false" customHeight="false" outlineLevel="0" collapsed="false">
      <c r="A250" s="3" t="n">
        <v>249</v>
      </c>
      <c r="B250" s="3" t="s">
        <v>299</v>
      </c>
      <c r="C250" s="4" t="s">
        <v>300</v>
      </c>
      <c r="D250" s="5" t="s">
        <v>301</v>
      </c>
      <c r="E250" s="4" t="s">
        <v>309</v>
      </c>
      <c r="F250" s="9" t="s">
        <v>312</v>
      </c>
      <c r="G250" s="10" t="n">
        <v>1</v>
      </c>
      <c r="H250" s="7" t="n">
        <v>9</v>
      </c>
      <c r="I250" s="11" t="n">
        <f aca="false">G250+H250</f>
        <v>10</v>
      </c>
      <c r="J250" s="3" t="str">
        <f aca="false">IF(H250=9,IF(G250=9,"즉시 착수",IF(G250=3,"표준화 병행","선결 과제")),IF(H250=3,IF(G250=1,"보류","2단계 확장"),IF(G250=1,"제외","여력 시 수집")))</f>
        <v>선결 과제</v>
      </c>
    </row>
    <row r="251" customFormat="false" ht="15" hidden="false" customHeight="false" outlineLevel="0" collapsed="false">
      <c r="A251" s="3" t="n">
        <v>250</v>
      </c>
      <c r="B251" s="3" t="s">
        <v>299</v>
      </c>
      <c r="C251" s="4" t="s">
        <v>300</v>
      </c>
      <c r="D251" s="5" t="s">
        <v>301</v>
      </c>
      <c r="E251" s="4" t="s">
        <v>309</v>
      </c>
      <c r="F251" s="9" t="s">
        <v>313</v>
      </c>
      <c r="G251" s="10" t="n">
        <v>1</v>
      </c>
      <c r="H251" s="7" t="n">
        <v>9</v>
      </c>
      <c r="I251" s="11" t="n">
        <f aca="false">G251+H251</f>
        <v>10</v>
      </c>
      <c r="J251" s="3" t="str">
        <f aca="false">IF(H251=9,IF(G251=9,"즉시 착수",IF(G251=3,"표준화 병행","선결 과제")),IF(H251=3,IF(G251=1,"보류","2단계 확장"),IF(G251=1,"제외","여력 시 수집")))</f>
        <v>선결 과제</v>
      </c>
    </row>
    <row r="252" customFormat="false" ht="15" hidden="false" customHeight="false" outlineLevel="0" collapsed="false">
      <c r="A252" s="3" t="n">
        <v>251</v>
      </c>
      <c r="B252" s="3" t="s">
        <v>299</v>
      </c>
      <c r="C252" s="4" t="s">
        <v>300</v>
      </c>
      <c r="D252" s="5" t="s">
        <v>301</v>
      </c>
      <c r="E252" s="4" t="s">
        <v>309</v>
      </c>
      <c r="F252" s="9" t="s">
        <v>314</v>
      </c>
      <c r="G252" s="10" t="n">
        <v>1</v>
      </c>
      <c r="H252" s="7" t="n">
        <v>9</v>
      </c>
      <c r="I252" s="11" t="n">
        <f aca="false">G252+H252</f>
        <v>10</v>
      </c>
      <c r="J252" s="3" t="str">
        <f aca="false">IF(H252=9,IF(G252=9,"즉시 착수",IF(G252=3,"표준화 병행","선결 과제")),IF(H252=3,IF(G252=1,"보류","2단계 확장"),IF(G252=1,"제외","여력 시 수집")))</f>
        <v>선결 과제</v>
      </c>
    </row>
    <row r="253" customFormat="false" ht="15" hidden="false" customHeight="false" outlineLevel="0" collapsed="false">
      <c r="A253" s="3" t="n">
        <v>252</v>
      </c>
      <c r="B253" s="3" t="s">
        <v>299</v>
      </c>
      <c r="C253" s="4" t="s">
        <v>300</v>
      </c>
      <c r="D253" s="5" t="s">
        <v>301</v>
      </c>
      <c r="E253" s="4" t="s">
        <v>309</v>
      </c>
      <c r="F253" s="9" t="s">
        <v>315</v>
      </c>
      <c r="G253" s="10" t="n">
        <v>1</v>
      </c>
      <c r="H253" s="7" t="n">
        <v>9</v>
      </c>
      <c r="I253" s="11" t="n">
        <f aca="false">G253+H253</f>
        <v>10</v>
      </c>
      <c r="J253" s="3" t="str">
        <f aca="false">IF(H253=9,IF(G253=9,"즉시 착수",IF(G253=3,"표준화 병행","선결 과제")),IF(H253=3,IF(G253=1,"보류","2단계 확장"),IF(G253=1,"제외","여력 시 수집")))</f>
        <v>선결 과제</v>
      </c>
    </row>
    <row r="254" customFormat="false" ht="15" hidden="false" customHeight="false" outlineLevel="0" collapsed="false">
      <c r="A254" s="3" t="n">
        <v>253</v>
      </c>
      <c r="B254" s="3" t="s">
        <v>299</v>
      </c>
      <c r="C254" s="4" t="s">
        <v>300</v>
      </c>
      <c r="D254" s="5" t="s">
        <v>301</v>
      </c>
      <c r="E254" s="4" t="s">
        <v>316</v>
      </c>
      <c r="F254" s="9" t="s">
        <v>317</v>
      </c>
      <c r="G254" s="12" t="n">
        <v>3</v>
      </c>
      <c r="H254" s="7" t="n">
        <v>9</v>
      </c>
      <c r="I254" s="13" t="n">
        <f aca="false">G254+H254</f>
        <v>12</v>
      </c>
      <c r="J254" s="3" t="str">
        <f aca="false">IF(H254=9,IF(G254=9,"즉시 착수",IF(G254=3,"표준화 병행","선결 과제")),IF(H254=3,IF(G254=1,"보류","2단계 확장"),IF(G254=1,"제외","여력 시 수집")))</f>
        <v>표준화 병행</v>
      </c>
    </row>
    <row r="255" customFormat="false" ht="15" hidden="false" customHeight="false" outlineLevel="0" collapsed="false">
      <c r="A255" s="3" t="n">
        <v>254</v>
      </c>
      <c r="B255" s="3" t="s">
        <v>299</v>
      </c>
      <c r="C255" s="4" t="s">
        <v>300</v>
      </c>
      <c r="D255" s="5" t="s">
        <v>301</v>
      </c>
      <c r="E255" s="4" t="s">
        <v>316</v>
      </c>
      <c r="F255" s="9" t="s">
        <v>318</v>
      </c>
      <c r="G255" s="12" t="n">
        <v>3</v>
      </c>
      <c r="H255" s="7" t="n">
        <v>9</v>
      </c>
      <c r="I255" s="13" t="n">
        <f aca="false">G255+H255</f>
        <v>12</v>
      </c>
      <c r="J255" s="3" t="str">
        <f aca="false">IF(H255=9,IF(G255=9,"즉시 착수",IF(G255=3,"표준화 병행","선결 과제")),IF(H255=3,IF(G255=1,"보류","2단계 확장"),IF(G255=1,"제외","여력 시 수집")))</f>
        <v>표준화 병행</v>
      </c>
    </row>
    <row r="256" customFormat="false" ht="15" hidden="false" customHeight="false" outlineLevel="0" collapsed="false">
      <c r="A256" s="3" t="n">
        <v>255</v>
      </c>
      <c r="B256" s="3" t="s">
        <v>299</v>
      </c>
      <c r="C256" s="4" t="s">
        <v>300</v>
      </c>
      <c r="D256" s="5" t="s">
        <v>301</v>
      </c>
      <c r="E256" s="4" t="s">
        <v>316</v>
      </c>
      <c r="F256" s="9" t="s">
        <v>319</v>
      </c>
      <c r="G256" s="12" t="n">
        <v>3</v>
      </c>
      <c r="H256" s="7" t="n">
        <v>9</v>
      </c>
      <c r="I256" s="13" t="n">
        <f aca="false">G256+H256</f>
        <v>12</v>
      </c>
      <c r="J256" s="3" t="str">
        <f aca="false">IF(H256=9,IF(G256=9,"즉시 착수",IF(G256=3,"표준화 병행","선결 과제")),IF(H256=3,IF(G256=1,"보류","2단계 확장"),IF(G256=1,"제외","여력 시 수집")))</f>
        <v>표준화 병행</v>
      </c>
    </row>
    <row r="257" customFormat="false" ht="15" hidden="false" customHeight="false" outlineLevel="0" collapsed="false">
      <c r="A257" s="3" t="n">
        <v>256</v>
      </c>
      <c r="B257" s="3" t="s">
        <v>299</v>
      </c>
      <c r="C257" s="4" t="s">
        <v>300</v>
      </c>
      <c r="D257" s="5" t="s">
        <v>301</v>
      </c>
      <c r="E257" s="4" t="s">
        <v>316</v>
      </c>
      <c r="F257" s="9" t="s">
        <v>320</v>
      </c>
      <c r="G257" s="10" t="n">
        <v>1</v>
      </c>
      <c r="H257" s="7" t="n">
        <v>9</v>
      </c>
      <c r="I257" s="11" t="n">
        <f aca="false">G257+H257</f>
        <v>10</v>
      </c>
      <c r="J257" s="3" t="str">
        <f aca="false">IF(H257=9,IF(G257=9,"즉시 착수",IF(G257=3,"표준화 병행","선결 과제")),IF(H257=3,IF(G257=1,"보류","2단계 확장"),IF(G257=1,"제외","여력 시 수집")))</f>
        <v>선결 과제</v>
      </c>
    </row>
    <row r="258" customFormat="false" ht="15" hidden="false" customHeight="false" outlineLevel="0" collapsed="false">
      <c r="A258" s="3" t="n">
        <v>257</v>
      </c>
      <c r="B258" s="3" t="s">
        <v>299</v>
      </c>
      <c r="C258" s="4" t="s">
        <v>300</v>
      </c>
      <c r="D258" s="5" t="s">
        <v>301</v>
      </c>
      <c r="E258" s="4" t="s">
        <v>316</v>
      </c>
      <c r="F258" s="9" t="s">
        <v>321</v>
      </c>
      <c r="G258" s="12" t="n">
        <v>3</v>
      </c>
      <c r="H258" s="7" t="n">
        <v>9</v>
      </c>
      <c r="I258" s="13" t="n">
        <f aca="false">G258+H258</f>
        <v>12</v>
      </c>
      <c r="J258" s="3" t="str">
        <f aca="false">IF(H258=9,IF(G258=9,"즉시 착수",IF(G258=3,"표준화 병행","선결 과제")),IF(H258=3,IF(G258=1,"보류","2단계 확장"),IF(G258=1,"제외","여력 시 수집")))</f>
        <v>표준화 병행</v>
      </c>
    </row>
    <row r="259" customFormat="false" ht="15" hidden="false" customHeight="false" outlineLevel="0" collapsed="false">
      <c r="A259" s="3" t="n">
        <v>258</v>
      </c>
      <c r="B259" s="3" t="s">
        <v>299</v>
      </c>
      <c r="C259" s="4" t="s">
        <v>300</v>
      </c>
      <c r="D259" s="5" t="s">
        <v>301</v>
      </c>
      <c r="E259" s="4" t="s">
        <v>316</v>
      </c>
      <c r="F259" s="9" t="s">
        <v>322</v>
      </c>
      <c r="G259" s="12" t="n">
        <v>3</v>
      </c>
      <c r="H259" s="7" t="n">
        <v>9</v>
      </c>
      <c r="I259" s="13" t="n">
        <f aca="false">G259+H259</f>
        <v>12</v>
      </c>
      <c r="J259" s="3" t="str">
        <f aca="false">IF(H259=9,IF(G259=9,"즉시 착수",IF(G259=3,"표준화 병행","선결 과제")),IF(H259=3,IF(G259=1,"보류","2단계 확장"),IF(G259=1,"제외","여력 시 수집")))</f>
        <v>표준화 병행</v>
      </c>
    </row>
    <row r="260" customFormat="false" ht="15" hidden="false" customHeight="false" outlineLevel="0" collapsed="false">
      <c r="A260" s="3" t="n">
        <v>259</v>
      </c>
      <c r="B260" s="3" t="s">
        <v>299</v>
      </c>
      <c r="C260" s="4" t="s">
        <v>300</v>
      </c>
      <c r="D260" s="5" t="s">
        <v>301</v>
      </c>
      <c r="E260" s="4" t="s">
        <v>323</v>
      </c>
      <c r="F260" s="9" t="s">
        <v>324</v>
      </c>
      <c r="G260" s="7" t="n">
        <v>9</v>
      </c>
      <c r="H260" s="7" t="n">
        <v>9</v>
      </c>
      <c r="I260" s="8" t="n">
        <f aca="false">G260+H260</f>
        <v>18</v>
      </c>
      <c r="J260" s="3" t="str">
        <f aca="false">IF(H260=9,IF(G260=9,"즉시 착수",IF(G260=3,"표준화 병행","선결 과제")),IF(H260=3,IF(G260=1,"보류","2단계 확장"),IF(G260=1,"제외","여력 시 수집")))</f>
        <v>즉시 착수</v>
      </c>
    </row>
    <row r="261" customFormat="false" ht="15" hidden="false" customHeight="false" outlineLevel="0" collapsed="false">
      <c r="A261" s="3" t="n">
        <v>260</v>
      </c>
      <c r="B261" s="3" t="s">
        <v>299</v>
      </c>
      <c r="C261" s="4" t="s">
        <v>300</v>
      </c>
      <c r="D261" s="5" t="s">
        <v>301</v>
      </c>
      <c r="E261" s="4" t="s">
        <v>323</v>
      </c>
      <c r="F261" s="9" t="s">
        <v>325</v>
      </c>
      <c r="G261" s="12" t="n">
        <v>3</v>
      </c>
      <c r="H261" s="12" t="n">
        <v>3</v>
      </c>
      <c r="I261" s="15" t="n">
        <f aca="false">G261+H261</f>
        <v>6</v>
      </c>
      <c r="J261" s="3" t="str">
        <f aca="false">IF(H261=9,IF(G261=9,"즉시 착수",IF(G261=3,"표준화 병행","선결 과제")),IF(H261=3,IF(G261=1,"보류","2단계 확장"),IF(G261=1,"제외","여력 시 수집")))</f>
        <v>2단계 확장</v>
      </c>
    </row>
    <row r="262" customFormat="false" ht="15" hidden="false" customHeight="false" outlineLevel="0" collapsed="false">
      <c r="A262" s="3" t="n">
        <v>261</v>
      </c>
      <c r="B262" s="3" t="s">
        <v>299</v>
      </c>
      <c r="C262" s="4" t="s">
        <v>300</v>
      </c>
      <c r="D262" s="5" t="s">
        <v>301</v>
      </c>
      <c r="E262" s="4" t="s">
        <v>323</v>
      </c>
      <c r="F262" s="9" t="s">
        <v>326</v>
      </c>
      <c r="G262" s="12" t="n">
        <v>3</v>
      </c>
      <c r="H262" s="12" t="n">
        <v>3</v>
      </c>
      <c r="I262" s="15" t="n">
        <f aca="false">G262+H262</f>
        <v>6</v>
      </c>
      <c r="J262" s="3" t="str">
        <f aca="false">IF(H262=9,IF(G262=9,"즉시 착수",IF(G262=3,"표준화 병행","선결 과제")),IF(H262=3,IF(G262=1,"보류","2단계 확장"),IF(G262=1,"제외","여력 시 수집")))</f>
        <v>2단계 확장</v>
      </c>
    </row>
    <row r="263" customFormat="false" ht="15" hidden="false" customHeight="false" outlineLevel="0" collapsed="false">
      <c r="A263" s="3" t="n">
        <v>262</v>
      </c>
      <c r="B263" s="3" t="s">
        <v>299</v>
      </c>
      <c r="C263" s="4" t="s">
        <v>300</v>
      </c>
      <c r="D263" s="5" t="s">
        <v>301</v>
      </c>
      <c r="E263" s="4" t="s">
        <v>323</v>
      </c>
      <c r="F263" s="9" t="s">
        <v>181</v>
      </c>
      <c r="G263" s="7" t="n">
        <v>9</v>
      </c>
      <c r="H263" s="7" t="n">
        <v>9</v>
      </c>
      <c r="I263" s="8" t="n">
        <f aca="false">G263+H263</f>
        <v>18</v>
      </c>
      <c r="J263" s="3" t="str">
        <f aca="false">IF(H263=9,IF(G263=9,"즉시 착수",IF(G263=3,"표준화 병행","선결 과제")),IF(H263=3,IF(G263=1,"보류","2단계 확장"),IF(G263=1,"제외","여력 시 수집")))</f>
        <v>즉시 착수</v>
      </c>
    </row>
    <row r="264" customFormat="false" ht="15" hidden="false" customHeight="false" outlineLevel="0" collapsed="false">
      <c r="A264" s="3" t="n">
        <v>263</v>
      </c>
      <c r="B264" s="3" t="s">
        <v>299</v>
      </c>
      <c r="C264" s="4" t="s">
        <v>300</v>
      </c>
      <c r="D264" s="5" t="s">
        <v>301</v>
      </c>
      <c r="E264" s="4" t="s">
        <v>323</v>
      </c>
      <c r="F264" s="9" t="s">
        <v>327</v>
      </c>
      <c r="G264" s="12" t="n">
        <v>3</v>
      </c>
      <c r="H264" s="12" t="n">
        <v>3</v>
      </c>
      <c r="I264" s="15" t="n">
        <f aca="false">G264+H264</f>
        <v>6</v>
      </c>
      <c r="J264" s="3" t="str">
        <f aca="false">IF(H264=9,IF(G264=9,"즉시 착수",IF(G264=3,"표준화 병행","선결 과제")),IF(H264=3,IF(G264=1,"보류","2단계 확장"),IF(G264=1,"제외","여력 시 수집")))</f>
        <v>2단계 확장</v>
      </c>
    </row>
    <row r="265" customFormat="false" ht="15" hidden="false" customHeight="false" outlineLevel="0" collapsed="false">
      <c r="A265" s="3" t="n">
        <v>264</v>
      </c>
      <c r="B265" s="3" t="s">
        <v>299</v>
      </c>
      <c r="C265" s="4" t="s">
        <v>300</v>
      </c>
      <c r="D265" s="5" t="s">
        <v>301</v>
      </c>
      <c r="E265" s="4" t="s">
        <v>323</v>
      </c>
      <c r="F265" s="9" t="s">
        <v>328</v>
      </c>
      <c r="G265" s="12" t="n">
        <v>3</v>
      </c>
      <c r="H265" s="12" t="n">
        <v>3</v>
      </c>
      <c r="I265" s="15" t="n">
        <f aca="false">G265+H265</f>
        <v>6</v>
      </c>
      <c r="J265" s="3" t="str">
        <f aca="false">IF(H265=9,IF(G265=9,"즉시 착수",IF(G265=3,"표준화 병행","선결 과제")),IF(H265=3,IF(G265=1,"보류","2단계 확장"),IF(G265=1,"제외","여력 시 수집")))</f>
        <v>2단계 확장</v>
      </c>
    </row>
    <row r="266" customFormat="false" ht="15" hidden="false" customHeight="false" outlineLevel="0" collapsed="false">
      <c r="A266" s="3" t="n">
        <v>265</v>
      </c>
      <c r="B266" s="3" t="s">
        <v>299</v>
      </c>
      <c r="C266" s="4" t="s">
        <v>300</v>
      </c>
      <c r="D266" s="5" t="s">
        <v>301</v>
      </c>
      <c r="E266" s="4" t="s">
        <v>329</v>
      </c>
      <c r="F266" s="9" t="s">
        <v>330</v>
      </c>
      <c r="G266" s="12" t="n">
        <v>3</v>
      </c>
      <c r="H266" s="7" t="n">
        <v>9</v>
      </c>
      <c r="I266" s="13" t="n">
        <f aca="false">G266+H266</f>
        <v>12</v>
      </c>
      <c r="J266" s="3" t="str">
        <f aca="false">IF(H266=9,IF(G266=9,"즉시 착수",IF(G266=3,"표준화 병행","선결 과제")),IF(H266=3,IF(G266=1,"보류","2단계 확장"),IF(G266=1,"제외","여력 시 수집")))</f>
        <v>표준화 병행</v>
      </c>
    </row>
    <row r="267" customFormat="false" ht="15" hidden="false" customHeight="false" outlineLevel="0" collapsed="false">
      <c r="A267" s="3" t="n">
        <v>266</v>
      </c>
      <c r="B267" s="3" t="s">
        <v>299</v>
      </c>
      <c r="C267" s="4" t="s">
        <v>300</v>
      </c>
      <c r="D267" s="5" t="s">
        <v>301</v>
      </c>
      <c r="E267" s="4" t="s">
        <v>329</v>
      </c>
      <c r="F267" s="6" t="s">
        <v>331</v>
      </c>
      <c r="G267" s="7" t="n">
        <v>9</v>
      </c>
      <c r="H267" s="7" t="n">
        <v>9</v>
      </c>
      <c r="I267" s="8" t="n">
        <f aca="false">G267+H267</f>
        <v>18</v>
      </c>
      <c r="J267" s="3" t="str">
        <f aca="false">IF(H267=9,IF(G267=9,"즉시 착수",IF(G267=3,"표준화 병행","선결 과제")),IF(H267=3,IF(G267=1,"보류","2단계 확장"),IF(G267=1,"제외","여력 시 수집")))</f>
        <v>즉시 착수</v>
      </c>
    </row>
    <row r="268" customFormat="false" ht="15" hidden="false" customHeight="false" outlineLevel="0" collapsed="false">
      <c r="A268" s="3" t="n">
        <v>267</v>
      </c>
      <c r="B268" s="3" t="s">
        <v>299</v>
      </c>
      <c r="C268" s="4" t="s">
        <v>300</v>
      </c>
      <c r="D268" s="5" t="s">
        <v>301</v>
      </c>
      <c r="E268" s="4" t="s">
        <v>329</v>
      </c>
      <c r="F268" s="9" t="s">
        <v>332</v>
      </c>
      <c r="G268" s="12" t="n">
        <v>3</v>
      </c>
      <c r="H268" s="7" t="n">
        <v>9</v>
      </c>
      <c r="I268" s="13" t="n">
        <f aca="false">G268+H268</f>
        <v>12</v>
      </c>
      <c r="J268" s="3" t="str">
        <f aca="false">IF(H268=9,IF(G268=9,"즉시 착수",IF(G268=3,"표준화 병행","선결 과제")),IF(H268=3,IF(G268=1,"보류","2단계 확장"),IF(G268=1,"제외","여력 시 수집")))</f>
        <v>표준화 병행</v>
      </c>
    </row>
    <row r="269" customFormat="false" ht="15" hidden="false" customHeight="false" outlineLevel="0" collapsed="false">
      <c r="A269" s="3" t="n">
        <v>268</v>
      </c>
      <c r="B269" s="3" t="s">
        <v>299</v>
      </c>
      <c r="C269" s="4" t="s">
        <v>300</v>
      </c>
      <c r="D269" s="5" t="s">
        <v>301</v>
      </c>
      <c r="E269" s="4" t="s">
        <v>329</v>
      </c>
      <c r="F269" s="9" t="s">
        <v>333</v>
      </c>
      <c r="G269" s="10" t="n">
        <v>1</v>
      </c>
      <c r="H269" s="7" t="n">
        <v>9</v>
      </c>
      <c r="I269" s="11" t="n">
        <f aca="false">G269+H269</f>
        <v>10</v>
      </c>
      <c r="J269" s="3" t="str">
        <f aca="false">IF(H269=9,IF(G269=9,"즉시 착수",IF(G269=3,"표준화 병행","선결 과제")),IF(H269=3,IF(G269=1,"보류","2단계 확장"),IF(G269=1,"제외","여력 시 수집")))</f>
        <v>선결 과제</v>
      </c>
    </row>
    <row r="270" customFormat="false" ht="15" hidden="false" customHeight="false" outlineLevel="0" collapsed="false">
      <c r="A270" s="3" t="n">
        <v>269</v>
      </c>
      <c r="B270" s="3" t="s">
        <v>299</v>
      </c>
      <c r="C270" s="4" t="s">
        <v>300</v>
      </c>
      <c r="D270" s="5" t="s">
        <v>301</v>
      </c>
      <c r="E270" s="4" t="s">
        <v>329</v>
      </c>
      <c r="F270" s="9" t="s">
        <v>334</v>
      </c>
      <c r="G270" s="12" t="n">
        <v>3</v>
      </c>
      <c r="H270" s="7" t="n">
        <v>9</v>
      </c>
      <c r="I270" s="13" t="n">
        <f aca="false">G270+H270</f>
        <v>12</v>
      </c>
      <c r="J270" s="3" t="str">
        <f aca="false">IF(H270=9,IF(G270=9,"즉시 착수",IF(G270=3,"표준화 병행","선결 과제")),IF(H270=3,IF(G270=1,"보류","2단계 확장"),IF(G270=1,"제외","여력 시 수집")))</f>
        <v>표준화 병행</v>
      </c>
    </row>
    <row r="271" customFormat="false" ht="15" hidden="false" customHeight="false" outlineLevel="0" collapsed="false">
      <c r="A271" s="3" t="n">
        <v>270</v>
      </c>
      <c r="B271" s="3" t="s">
        <v>299</v>
      </c>
      <c r="C271" s="4" t="s">
        <v>300</v>
      </c>
      <c r="D271" s="5" t="s">
        <v>301</v>
      </c>
      <c r="E271" s="4" t="s">
        <v>329</v>
      </c>
      <c r="F271" s="9" t="s">
        <v>335</v>
      </c>
      <c r="G271" s="12" t="n">
        <v>3</v>
      </c>
      <c r="H271" s="7" t="n">
        <v>9</v>
      </c>
      <c r="I271" s="13" t="n">
        <f aca="false">G271+H271</f>
        <v>12</v>
      </c>
      <c r="J271" s="3" t="str">
        <f aca="false">IF(H271=9,IF(G271=9,"즉시 착수",IF(G271=3,"표준화 병행","선결 과제")),IF(H271=3,IF(G271=1,"보류","2단계 확장"),IF(G271=1,"제외","여력 시 수집")))</f>
        <v>표준화 병행</v>
      </c>
    </row>
    <row r="272" customFormat="false" ht="15" hidden="false" customHeight="false" outlineLevel="0" collapsed="false">
      <c r="A272" s="3" t="n">
        <v>271</v>
      </c>
      <c r="B272" s="3" t="s">
        <v>299</v>
      </c>
      <c r="C272" s="4" t="s">
        <v>300</v>
      </c>
      <c r="D272" s="5" t="s">
        <v>301</v>
      </c>
      <c r="E272" s="4" t="s">
        <v>336</v>
      </c>
      <c r="F272" s="9" t="s">
        <v>337</v>
      </c>
      <c r="G272" s="7" t="n">
        <v>9</v>
      </c>
      <c r="H272" s="7" t="n">
        <v>9</v>
      </c>
      <c r="I272" s="8" t="n">
        <f aca="false">G272+H272</f>
        <v>18</v>
      </c>
      <c r="J272" s="3" t="str">
        <f aca="false">IF(H272=9,IF(G272=9,"즉시 착수",IF(G272=3,"표준화 병행","선결 과제")),IF(H272=3,IF(G272=1,"보류","2단계 확장"),IF(G272=1,"제외","여력 시 수집")))</f>
        <v>즉시 착수</v>
      </c>
    </row>
    <row r="273" customFormat="false" ht="15" hidden="false" customHeight="false" outlineLevel="0" collapsed="false">
      <c r="A273" s="3" t="n">
        <v>272</v>
      </c>
      <c r="B273" s="3" t="s">
        <v>299</v>
      </c>
      <c r="C273" s="4" t="s">
        <v>300</v>
      </c>
      <c r="D273" s="5" t="s">
        <v>301</v>
      </c>
      <c r="E273" s="4" t="s">
        <v>336</v>
      </c>
      <c r="F273" s="9" t="s">
        <v>338</v>
      </c>
      <c r="G273" s="7" t="n">
        <v>9</v>
      </c>
      <c r="H273" s="12" t="n">
        <v>3</v>
      </c>
      <c r="I273" s="13" t="n">
        <f aca="false">G273+H273</f>
        <v>12</v>
      </c>
      <c r="J273" s="3" t="str">
        <f aca="false">IF(H273=9,IF(G273=9,"즉시 착수",IF(G273=3,"표준화 병행","선결 과제")),IF(H273=3,IF(G273=1,"보류","2단계 확장"),IF(G273=1,"제외","여력 시 수집")))</f>
        <v>2단계 확장</v>
      </c>
    </row>
    <row r="274" customFormat="false" ht="15" hidden="false" customHeight="false" outlineLevel="0" collapsed="false">
      <c r="A274" s="3" t="n">
        <v>273</v>
      </c>
      <c r="B274" s="3" t="s">
        <v>299</v>
      </c>
      <c r="C274" s="4" t="s">
        <v>300</v>
      </c>
      <c r="D274" s="5" t="s">
        <v>301</v>
      </c>
      <c r="E274" s="4" t="s">
        <v>336</v>
      </c>
      <c r="F274" s="9" t="s">
        <v>339</v>
      </c>
      <c r="G274" s="7" t="n">
        <v>9</v>
      </c>
      <c r="H274" s="12" t="n">
        <v>3</v>
      </c>
      <c r="I274" s="13" t="n">
        <f aca="false">G274+H274</f>
        <v>12</v>
      </c>
      <c r="J274" s="3" t="str">
        <f aca="false">IF(H274=9,IF(G274=9,"즉시 착수",IF(G274=3,"표준화 병행","선결 과제")),IF(H274=3,IF(G274=1,"보류","2단계 확장"),IF(G274=1,"제외","여력 시 수집")))</f>
        <v>2단계 확장</v>
      </c>
    </row>
    <row r="275" customFormat="false" ht="15" hidden="false" customHeight="false" outlineLevel="0" collapsed="false">
      <c r="A275" s="3" t="n">
        <v>274</v>
      </c>
      <c r="B275" s="3" t="s">
        <v>299</v>
      </c>
      <c r="C275" s="4" t="s">
        <v>300</v>
      </c>
      <c r="D275" s="5" t="s">
        <v>301</v>
      </c>
      <c r="E275" s="4" t="s">
        <v>336</v>
      </c>
      <c r="F275" s="9" t="s">
        <v>340</v>
      </c>
      <c r="G275" s="12" t="n">
        <v>3</v>
      </c>
      <c r="H275" s="7" t="n">
        <v>9</v>
      </c>
      <c r="I275" s="13" t="n">
        <f aca="false">G275+H275</f>
        <v>12</v>
      </c>
      <c r="J275" s="3" t="str">
        <f aca="false">IF(H275=9,IF(G275=9,"즉시 착수",IF(G275=3,"표준화 병행","선결 과제")),IF(H275=3,IF(G275=1,"보류","2단계 확장"),IF(G275=1,"제외","여력 시 수집")))</f>
        <v>표준화 병행</v>
      </c>
    </row>
    <row r="276" customFormat="false" ht="15" hidden="false" customHeight="false" outlineLevel="0" collapsed="false">
      <c r="A276" s="3" t="n">
        <v>275</v>
      </c>
      <c r="B276" s="3" t="s">
        <v>299</v>
      </c>
      <c r="C276" s="4" t="s">
        <v>300</v>
      </c>
      <c r="D276" s="5" t="s">
        <v>301</v>
      </c>
      <c r="E276" s="4" t="s">
        <v>336</v>
      </c>
      <c r="F276" s="9" t="s">
        <v>341</v>
      </c>
      <c r="G276" s="7" t="n">
        <v>9</v>
      </c>
      <c r="H276" s="12" t="n">
        <v>3</v>
      </c>
      <c r="I276" s="13" t="n">
        <f aca="false">G276+H276</f>
        <v>12</v>
      </c>
      <c r="J276" s="3" t="str">
        <f aca="false">IF(H276=9,IF(G276=9,"즉시 착수",IF(G276=3,"표준화 병행","선결 과제")),IF(H276=3,IF(G276=1,"보류","2단계 확장"),IF(G276=1,"제외","여력 시 수집")))</f>
        <v>2단계 확장</v>
      </c>
    </row>
    <row r="277" customFormat="false" ht="15" hidden="false" customHeight="false" outlineLevel="0" collapsed="false">
      <c r="A277" s="3" t="n">
        <v>276</v>
      </c>
      <c r="B277" s="3" t="s">
        <v>299</v>
      </c>
      <c r="C277" s="4" t="s">
        <v>300</v>
      </c>
      <c r="D277" s="5" t="s">
        <v>301</v>
      </c>
      <c r="E277" s="4" t="s">
        <v>336</v>
      </c>
      <c r="F277" s="9" t="s">
        <v>342</v>
      </c>
      <c r="G277" s="10" t="n">
        <v>1</v>
      </c>
      <c r="H277" s="7" t="n">
        <v>9</v>
      </c>
      <c r="I277" s="11" t="n">
        <f aca="false">G277+H277</f>
        <v>10</v>
      </c>
      <c r="J277" s="3" t="str">
        <f aca="false">IF(H277=9,IF(G277=9,"즉시 착수",IF(G277=3,"표준화 병행","선결 과제")),IF(H277=3,IF(G277=1,"보류","2단계 확장"),IF(G277=1,"제외","여력 시 수집")))</f>
        <v>선결 과제</v>
      </c>
    </row>
    <row r="278" customFormat="false" ht="15" hidden="false" customHeight="false" outlineLevel="0" collapsed="false">
      <c r="A278" s="3" t="n">
        <v>277</v>
      </c>
      <c r="B278" s="3" t="s">
        <v>299</v>
      </c>
      <c r="C278" s="4" t="s">
        <v>300</v>
      </c>
      <c r="D278" s="5" t="s">
        <v>301</v>
      </c>
      <c r="E278" s="4" t="s">
        <v>343</v>
      </c>
      <c r="F278" s="6" t="s">
        <v>344</v>
      </c>
      <c r="G278" s="7" t="n">
        <v>9</v>
      </c>
      <c r="H278" s="12" t="n">
        <v>3</v>
      </c>
      <c r="I278" s="13" t="n">
        <f aca="false">G278+H278</f>
        <v>12</v>
      </c>
      <c r="J278" s="3" t="str">
        <f aca="false">IF(H278=9,IF(G278=9,"즉시 착수",IF(G278=3,"표준화 병행","선결 과제")),IF(H278=3,IF(G278=1,"보류","2단계 확장"),IF(G278=1,"제외","여력 시 수집")))</f>
        <v>2단계 확장</v>
      </c>
    </row>
    <row r="279" customFormat="false" ht="15" hidden="false" customHeight="false" outlineLevel="0" collapsed="false">
      <c r="A279" s="3" t="n">
        <v>278</v>
      </c>
      <c r="B279" s="3" t="s">
        <v>299</v>
      </c>
      <c r="C279" s="4" t="s">
        <v>300</v>
      </c>
      <c r="D279" s="5" t="s">
        <v>301</v>
      </c>
      <c r="E279" s="4" t="s">
        <v>343</v>
      </c>
      <c r="F279" s="9" t="s">
        <v>67</v>
      </c>
      <c r="G279" s="7" t="n">
        <v>9</v>
      </c>
      <c r="H279" s="12" t="n">
        <v>3</v>
      </c>
      <c r="I279" s="13" t="n">
        <f aca="false">G279+H279</f>
        <v>12</v>
      </c>
      <c r="J279" s="3" t="str">
        <f aca="false">IF(H279=9,IF(G279=9,"즉시 착수",IF(G279=3,"표준화 병행","선결 과제")),IF(H279=3,IF(G279=1,"보류","2단계 확장"),IF(G279=1,"제외","여력 시 수집")))</f>
        <v>2단계 확장</v>
      </c>
    </row>
    <row r="280" customFormat="false" ht="15" hidden="false" customHeight="false" outlineLevel="0" collapsed="false">
      <c r="A280" s="3" t="n">
        <v>279</v>
      </c>
      <c r="B280" s="3" t="s">
        <v>299</v>
      </c>
      <c r="C280" s="4" t="s">
        <v>300</v>
      </c>
      <c r="D280" s="5" t="s">
        <v>301</v>
      </c>
      <c r="E280" s="4" t="s">
        <v>343</v>
      </c>
      <c r="F280" s="9" t="s">
        <v>345</v>
      </c>
      <c r="G280" s="7" t="n">
        <v>9</v>
      </c>
      <c r="H280" s="12" t="n">
        <v>3</v>
      </c>
      <c r="I280" s="13" t="n">
        <f aca="false">G280+H280</f>
        <v>12</v>
      </c>
      <c r="J280" s="3" t="str">
        <f aca="false">IF(H280=9,IF(G280=9,"즉시 착수",IF(G280=3,"표준화 병행","선결 과제")),IF(H280=3,IF(G280=1,"보류","2단계 확장"),IF(G280=1,"제외","여력 시 수집")))</f>
        <v>2단계 확장</v>
      </c>
    </row>
    <row r="281" customFormat="false" ht="15" hidden="false" customHeight="false" outlineLevel="0" collapsed="false">
      <c r="A281" s="3" t="n">
        <v>280</v>
      </c>
      <c r="B281" s="3" t="s">
        <v>299</v>
      </c>
      <c r="C281" s="4" t="s">
        <v>300</v>
      </c>
      <c r="D281" s="5" t="s">
        <v>301</v>
      </c>
      <c r="E281" s="4" t="s">
        <v>343</v>
      </c>
      <c r="F281" s="9" t="s">
        <v>346</v>
      </c>
      <c r="G281" s="7" t="n">
        <v>9</v>
      </c>
      <c r="H281" s="12" t="n">
        <v>3</v>
      </c>
      <c r="I281" s="13" t="n">
        <f aca="false">G281+H281</f>
        <v>12</v>
      </c>
      <c r="J281" s="3" t="str">
        <f aca="false">IF(H281=9,IF(G281=9,"즉시 착수",IF(G281=3,"표준화 병행","선결 과제")),IF(H281=3,IF(G281=1,"보류","2단계 확장"),IF(G281=1,"제외","여력 시 수집")))</f>
        <v>2단계 확장</v>
      </c>
    </row>
    <row r="282" customFormat="false" ht="15" hidden="false" customHeight="false" outlineLevel="0" collapsed="false">
      <c r="A282" s="3" t="n">
        <v>281</v>
      </c>
      <c r="B282" s="3" t="s">
        <v>299</v>
      </c>
      <c r="C282" s="4" t="s">
        <v>300</v>
      </c>
      <c r="D282" s="5" t="s">
        <v>301</v>
      </c>
      <c r="E282" s="4" t="s">
        <v>343</v>
      </c>
      <c r="F282" s="9" t="s">
        <v>347</v>
      </c>
      <c r="G282" s="7" t="n">
        <v>9</v>
      </c>
      <c r="H282" s="12" t="n">
        <v>3</v>
      </c>
      <c r="I282" s="13" t="n">
        <f aca="false">G282+H282</f>
        <v>12</v>
      </c>
      <c r="J282" s="3" t="str">
        <f aca="false">IF(H282=9,IF(G282=9,"즉시 착수",IF(G282=3,"표준화 병행","선결 과제")),IF(H282=3,IF(G282=1,"보류","2단계 확장"),IF(G282=1,"제외","여력 시 수집")))</f>
        <v>2단계 확장</v>
      </c>
    </row>
    <row r="283" customFormat="false" ht="15" hidden="false" customHeight="false" outlineLevel="0" collapsed="false">
      <c r="A283" s="3" t="n">
        <v>282</v>
      </c>
      <c r="B283" s="3" t="s">
        <v>299</v>
      </c>
      <c r="C283" s="4" t="s">
        <v>300</v>
      </c>
      <c r="D283" s="5" t="s">
        <v>301</v>
      </c>
      <c r="E283" s="4" t="s">
        <v>343</v>
      </c>
      <c r="F283" s="9" t="s">
        <v>348</v>
      </c>
      <c r="G283" s="7" t="n">
        <v>9</v>
      </c>
      <c r="H283" s="12" t="n">
        <v>3</v>
      </c>
      <c r="I283" s="13" t="n">
        <f aca="false">G283+H283</f>
        <v>12</v>
      </c>
      <c r="J283" s="3" t="str">
        <f aca="false">IF(H283=9,IF(G283=9,"즉시 착수",IF(G283=3,"표준화 병행","선결 과제")),IF(H283=3,IF(G283=1,"보류","2단계 확장"),IF(G283=1,"제외","여력 시 수집")))</f>
        <v>2단계 확장</v>
      </c>
    </row>
    <row r="284" customFormat="false" ht="15" hidden="false" customHeight="false" outlineLevel="0" collapsed="false">
      <c r="A284" s="3" t="n">
        <v>283</v>
      </c>
      <c r="B284" s="3" t="s">
        <v>299</v>
      </c>
      <c r="C284" s="4" t="s">
        <v>300</v>
      </c>
      <c r="D284" s="5" t="s">
        <v>301</v>
      </c>
      <c r="E284" s="4" t="s">
        <v>349</v>
      </c>
      <c r="F284" s="9" t="s">
        <v>350</v>
      </c>
      <c r="G284" s="7" t="n">
        <v>9</v>
      </c>
      <c r="H284" s="12" t="n">
        <v>3</v>
      </c>
      <c r="I284" s="13" t="n">
        <f aca="false">G284+H284</f>
        <v>12</v>
      </c>
      <c r="J284" s="3" t="str">
        <f aca="false">IF(H284=9,IF(G284=9,"즉시 착수",IF(G284=3,"표준화 병행","선결 과제")),IF(H284=3,IF(G284=1,"보류","2단계 확장"),IF(G284=1,"제외","여력 시 수집")))</f>
        <v>2단계 확장</v>
      </c>
    </row>
    <row r="285" customFormat="false" ht="15" hidden="false" customHeight="false" outlineLevel="0" collapsed="false">
      <c r="A285" s="3" t="n">
        <v>284</v>
      </c>
      <c r="B285" s="3" t="s">
        <v>299</v>
      </c>
      <c r="C285" s="4" t="s">
        <v>300</v>
      </c>
      <c r="D285" s="5" t="s">
        <v>301</v>
      </c>
      <c r="E285" s="4" t="s">
        <v>349</v>
      </c>
      <c r="F285" s="9" t="s">
        <v>351</v>
      </c>
      <c r="G285" s="7" t="n">
        <v>9</v>
      </c>
      <c r="H285" s="12" t="n">
        <v>3</v>
      </c>
      <c r="I285" s="13" t="n">
        <f aca="false">G285+H285</f>
        <v>12</v>
      </c>
      <c r="J285" s="3" t="str">
        <f aca="false">IF(H285=9,IF(G285=9,"즉시 착수",IF(G285=3,"표준화 병행","선결 과제")),IF(H285=3,IF(G285=1,"보류","2단계 확장"),IF(G285=1,"제외","여력 시 수집")))</f>
        <v>2단계 확장</v>
      </c>
    </row>
    <row r="286" customFormat="false" ht="15" hidden="false" customHeight="false" outlineLevel="0" collapsed="false">
      <c r="A286" s="3" t="n">
        <v>285</v>
      </c>
      <c r="B286" s="3" t="s">
        <v>299</v>
      </c>
      <c r="C286" s="4" t="s">
        <v>300</v>
      </c>
      <c r="D286" s="5" t="s">
        <v>301</v>
      </c>
      <c r="E286" s="4" t="s">
        <v>349</v>
      </c>
      <c r="F286" s="9" t="s">
        <v>352</v>
      </c>
      <c r="G286" s="7" t="n">
        <v>9</v>
      </c>
      <c r="H286" s="12" t="n">
        <v>3</v>
      </c>
      <c r="I286" s="13" t="n">
        <f aca="false">G286+H286</f>
        <v>12</v>
      </c>
      <c r="J286" s="3" t="str">
        <f aca="false">IF(H286=9,IF(G286=9,"즉시 착수",IF(G286=3,"표준화 병행","선결 과제")),IF(H286=3,IF(G286=1,"보류","2단계 확장"),IF(G286=1,"제외","여력 시 수집")))</f>
        <v>2단계 확장</v>
      </c>
    </row>
    <row r="287" customFormat="false" ht="15" hidden="false" customHeight="false" outlineLevel="0" collapsed="false">
      <c r="A287" s="3" t="n">
        <v>286</v>
      </c>
      <c r="B287" s="3" t="s">
        <v>299</v>
      </c>
      <c r="C287" s="4" t="s">
        <v>300</v>
      </c>
      <c r="D287" s="5" t="s">
        <v>301</v>
      </c>
      <c r="E287" s="4" t="s">
        <v>349</v>
      </c>
      <c r="F287" s="9" t="s">
        <v>353</v>
      </c>
      <c r="G287" s="10" t="n">
        <v>1</v>
      </c>
      <c r="H287" s="7" t="n">
        <v>9</v>
      </c>
      <c r="I287" s="11" t="n">
        <f aca="false">G287+H287</f>
        <v>10</v>
      </c>
      <c r="J287" s="3" t="str">
        <f aca="false">IF(H287=9,IF(G287=9,"즉시 착수",IF(G287=3,"표준화 병행","선결 과제")),IF(H287=3,IF(G287=1,"보류","2단계 확장"),IF(G287=1,"제외","여력 시 수집")))</f>
        <v>선결 과제</v>
      </c>
    </row>
    <row r="288" customFormat="false" ht="15" hidden="false" customHeight="false" outlineLevel="0" collapsed="false">
      <c r="A288" s="3" t="n">
        <v>287</v>
      </c>
      <c r="B288" s="3" t="s">
        <v>299</v>
      </c>
      <c r="C288" s="4" t="s">
        <v>300</v>
      </c>
      <c r="D288" s="5" t="s">
        <v>301</v>
      </c>
      <c r="E288" s="4" t="s">
        <v>349</v>
      </c>
      <c r="F288" s="9" t="s">
        <v>354</v>
      </c>
      <c r="G288" s="7" t="n">
        <v>9</v>
      </c>
      <c r="H288" s="12" t="n">
        <v>3</v>
      </c>
      <c r="I288" s="13" t="n">
        <f aca="false">G288+H288</f>
        <v>12</v>
      </c>
      <c r="J288" s="3" t="str">
        <f aca="false">IF(H288=9,IF(G288=9,"즉시 착수",IF(G288=3,"표준화 병행","선결 과제")),IF(H288=3,IF(G288=1,"보류","2단계 확장"),IF(G288=1,"제외","여력 시 수집")))</f>
        <v>2단계 확장</v>
      </c>
    </row>
    <row r="289" customFormat="false" ht="15" hidden="false" customHeight="false" outlineLevel="0" collapsed="false">
      <c r="A289" s="3" t="n">
        <v>288</v>
      </c>
      <c r="B289" s="3" t="s">
        <v>299</v>
      </c>
      <c r="C289" s="4" t="s">
        <v>300</v>
      </c>
      <c r="D289" s="5" t="s">
        <v>301</v>
      </c>
      <c r="E289" s="4" t="s">
        <v>349</v>
      </c>
      <c r="F289" s="9" t="s">
        <v>355</v>
      </c>
      <c r="G289" s="7" t="n">
        <v>9</v>
      </c>
      <c r="H289" s="12" t="n">
        <v>3</v>
      </c>
      <c r="I289" s="13" t="n">
        <f aca="false">G289+H289</f>
        <v>12</v>
      </c>
      <c r="J289" s="3" t="str">
        <f aca="false">IF(H289=9,IF(G289=9,"즉시 착수",IF(G289=3,"표준화 병행","선결 과제")),IF(H289=3,IF(G289=1,"보류","2단계 확장"),IF(G289=1,"제외","여력 시 수집")))</f>
        <v>2단계 확장</v>
      </c>
    </row>
    <row r="290" customFormat="false" ht="15" hidden="false" customHeight="false" outlineLevel="0" collapsed="false">
      <c r="A290" s="3" t="n">
        <v>289</v>
      </c>
      <c r="B290" s="3" t="s">
        <v>356</v>
      </c>
      <c r="C290" s="4" t="s">
        <v>357</v>
      </c>
      <c r="D290" s="5" t="s">
        <v>358</v>
      </c>
      <c r="E290" s="4" t="s">
        <v>359</v>
      </c>
      <c r="F290" s="9" t="s">
        <v>360</v>
      </c>
      <c r="G290" s="12" t="n">
        <v>3</v>
      </c>
      <c r="H290" s="7" t="n">
        <v>9</v>
      </c>
      <c r="I290" s="13" t="n">
        <f aca="false">G290+H290</f>
        <v>12</v>
      </c>
      <c r="J290" s="3" t="str">
        <f aca="false">IF(H290=9,IF(G290=9,"즉시 착수",IF(G290=3,"표준화 병행","선결 과제")),IF(H290=3,IF(G290=1,"보류","2단계 확장"),IF(G290=1,"제외","여력 시 수집")))</f>
        <v>표준화 병행</v>
      </c>
    </row>
    <row r="291" customFormat="false" ht="15" hidden="false" customHeight="false" outlineLevel="0" collapsed="false">
      <c r="A291" s="3" t="n">
        <v>290</v>
      </c>
      <c r="B291" s="3" t="s">
        <v>356</v>
      </c>
      <c r="C291" s="4" t="s">
        <v>357</v>
      </c>
      <c r="D291" s="5" t="s">
        <v>358</v>
      </c>
      <c r="E291" s="4" t="s">
        <v>359</v>
      </c>
      <c r="F291" s="9" t="s">
        <v>361</v>
      </c>
      <c r="G291" s="7" t="n">
        <v>9</v>
      </c>
      <c r="H291" s="7" t="n">
        <v>9</v>
      </c>
      <c r="I291" s="8" t="n">
        <f aca="false">G291+H291</f>
        <v>18</v>
      </c>
      <c r="J291" s="3" t="str">
        <f aca="false">IF(H291=9,IF(G291=9,"즉시 착수",IF(G291=3,"표준화 병행","선결 과제")),IF(H291=3,IF(G291=1,"보류","2단계 확장"),IF(G291=1,"제외","여력 시 수집")))</f>
        <v>즉시 착수</v>
      </c>
    </row>
    <row r="292" customFormat="false" ht="15" hidden="false" customHeight="false" outlineLevel="0" collapsed="false">
      <c r="A292" s="3" t="n">
        <v>291</v>
      </c>
      <c r="B292" s="3" t="s">
        <v>356</v>
      </c>
      <c r="C292" s="4" t="s">
        <v>357</v>
      </c>
      <c r="D292" s="5" t="s">
        <v>358</v>
      </c>
      <c r="E292" s="4" t="s">
        <v>359</v>
      </c>
      <c r="F292" s="9" t="s">
        <v>362</v>
      </c>
      <c r="G292" s="12" t="n">
        <v>3</v>
      </c>
      <c r="H292" s="7" t="n">
        <v>9</v>
      </c>
      <c r="I292" s="13" t="n">
        <f aca="false">G292+H292</f>
        <v>12</v>
      </c>
      <c r="J292" s="3" t="str">
        <f aca="false">IF(H292=9,IF(G292=9,"즉시 착수",IF(G292=3,"표준화 병행","선결 과제")),IF(H292=3,IF(G292=1,"보류","2단계 확장"),IF(G292=1,"제외","여력 시 수집")))</f>
        <v>표준화 병행</v>
      </c>
    </row>
    <row r="293" customFormat="false" ht="15" hidden="false" customHeight="false" outlineLevel="0" collapsed="false">
      <c r="A293" s="3" t="n">
        <v>292</v>
      </c>
      <c r="B293" s="3" t="s">
        <v>356</v>
      </c>
      <c r="C293" s="4" t="s">
        <v>357</v>
      </c>
      <c r="D293" s="5" t="s">
        <v>358</v>
      </c>
      <c r="E293" s="4" t="s">
        <v>359</v>
      </c>
      <c r="F293" s="9" t="s">
        <v>363</v>
      </c>
      <c r="G293" s="12" t="n">
        <v>3</v>
      </c>
      <c r="H293" s="7" t="n">
        <v>9</v>
      </c>
      <c r="I293" s="13" t="n">
        <f aca="false">G293+H293</f>
        <v>12</v>
      </c>
      <c r="J293" s="3" t="str">
        <f aca="false">IF(H293=9,IF(G293=9,"즉시 착수",IF(G293=3,"표준화 병행","선결 과제")),IF(H293=3,IF(G293=1,"보류","2단계 확장"),IF(G293=1,"제외","여력 시 수집")))</f>
        <v>표준화 병행</v>
      </c>
    </row>
    <row r="294" customFormat="false" ht="15" hidden="false" customHeight="false" outlineLevel="0" collapsed="false">
      <c r="A294" s="3" t="n">
        <v>293</v>
      </c>
      <c r="B294" s="3" t="s">
        <v>356</v>
      </c>
      <c r="C294" s="4" t="s">
        <v>357</v>
      </c>
      <c r="D294" s="5" t="s">
        <v>358</v>
      </c>
      <c r="E294" s="4" t="s">
        <v>359</v>
      </c>
      <c r="F294" s="9" t="s">
        <v>364</v>
      </c>
      <c r="G294" s="12" t="n">
        <v>3</v>
      </c>
      <c r="H294" s="7" t="n">
        <v>9</v>
      </c>
      <c r="I294" s="13" t="n">
        <f aca="false">G294+H294</f>
        <v>12</v>
      </c>
      <c r="J294" s="3" t="str">
        <f aca="false">IF(H294=9,IF(G294=9,"즉시 착수",IF(G294=3,"표준화 병행","선결 과제")),IF(H294=3,IF(G294=1,"보류","2단계 확장"),IF(G294=1,"제외","여력 시 수집")))</f>
        <v>표준화 병행</v>
      </c>
    </row>
    <row r="295" customFormat="false" ht="15" hidden="false" customHeight="false" outlineLevel="0" collapsed="false">
      <c r="A295" s="3" t="n">
        <v>294</v>
      </c>
      <c r="B295" s="3" t="s">
        <v>356</v>
      </c>
      <c r="C295" s="4" t="s">
        <v>357</v>
      </c>
      <c r="D295" s="5" t="s">
        <v>358</v>
      </c>
      <c r="E295" s="4" t="s">
        <v>359</v>
      </c>
      <c r="F295" s="9" t="s">
        <v>365</v>
      </c>
      <c r="G295" s="12" t="n">
        <v>3</v>
      </c>
      <c r="H295" s="7" t="n">
        <v>9</v>
      </c>
      <c r="I295" s="13" t="n">
        <f aca="false">G295+H295</f>
        <v>12</v>
      </c>
      <c r="J295" s="3" t="str">
        <f aca="false">IF(H295=9,IF(G295=9,"즉시 착수",IF(G295=3,"표준화 병행","선결 과제")),IF(H295=3,IF(G295=1,"보류","2단계 확장"),IF(G295=1,"제외","여력 시 수집")))</f>
        <v>표준화 병행</v>
      </c>
    </row>
    <row r="296" customFormat="false" ht="15" hidden="false" customHeight="false" outlineLevel="0" collapsed="false">
      <c r="A296" s="3" t="n">
        <v>295</v>
      </c>
      <c r="B296" s="3" t="s">
        <v>356</v>
      </c>
      <c r="C296" s="4" t="s">
        <v>357</v>
      </c>
      <c r="D296" s="5" t="s">
        <v>358</v>
      </c>
      <c r="E296" s="4" t="s">
        <v>366</v>
      </c>
      <c r="F296" s="9" t="s">
        <v>367</v>
      </c>
      <c r="G296" s="10" t="n">
        <v>1</v>
      </c>
      <c r="H296" s="7" t="n">
        <v>9</v>
      </c>
      <c r="I296" s="11" t="n">
        <f aca="false">G296+H296</f>
        <v>10</v>
      </c>
      <c r="J296" s="3" t="str">
        <f aca="false">IF(H296=9,IF(G296=9,"즉시 착수",IF(G296=3,"표준화 병행","선결 과제")),IF(H296=3,IF(G296=1,"보류","2단계 확장"),IF(G296=1,"제외","여력 시 수집")))</f>
        <v>선결 과제</v>
      </c>
    </row>
    <row r="297" customFormat="false" ht="15" hidden="false" customHeight="false" outlineLevel="0" collapsed="false">
      <c r="A297" s="3" t="n">
        <v>296</v>
      </c>
      <c r="B297" s="3" t="s">
        <v>356</v>
      </c>
      <c r="C297" s="4" t="s">
        <v>357</v>
      </c>
      <c r="D297" s="5" t="s">
        <v>358</v>
      </c>
      <c r="E297" s="4" t="s">
        <v>366</v>
      </c>
      <c r="F297" s="9" t="s">
        <v>368</v>
      </c>
      <c r="G297" s="10" t="n">
        <v>1</v>
      </c>
      <c r="H297" s="7" t="n">
        <v>9</v>
      </c>
      <c r="I297" s="11" t="n">
        <f aca="false">G297+H297</f>
        <v>10</v>
      </c>
      <c r="J297" s="3" t="str">
        <f aca="false">IF(H297=9,IF(G297=9,"즉시 착수",IF(G297=3,"표준화 병행","선결 과제")),IF(H297=3,IF(G297=1,"보류","2단계 확장"),IF(G297=1,"제외","여력 시 수집")))</f>
        <v>선결 과제</v>
      </c>
    </row>
    <row r="298" customFormat="false" ht="15" hidden="false" customHeight="false" outlineLevel="0" collapsed="false">
      <c r="A298" s="3" t="n">
        <v>297</v>
      </c>
      <c r="B298" s="3" t="s">
        <v>356</v>
      </c>
      <c r="C298" s="4" t="s">
        <v>357</v>
      </c>
      <c r="D298" s="5" t="s">
        <v>358</v>
      </c>
      <c r="E298" s="4" t="s">
        <v>366</v>
      </c>
      <c r="F298" s="9" t="s">
        <v>369</v>
      </c>
      <c r="G298" s="12" t="n">
        <v>3</v>
      </c>
      <c r="H298" s="7" t="n">
        <v>9</v>
      </c>
      <c r="I298" s="13" t="n">
        <f aca="false">G298+H298</f>
        <v>12</v>
      </c>
      <c r="J298" s="3" t="str">
        <f aca="false">IF(H298=9,IF(G298=9,"즉시 착수",IF(G298=3,"표준화 병행","선결 과제")),IF(H298=3,IF(G298=1,"보류","2단계 확장"),IF(G298=1,"제외","여력 시 수집")))</f>
        <v>표준화 병행</v>
      </c>
    </row>
    <row r="299" customFormat="false" ht="15" hidden="false" customHeight="false" outlineLevel="0" collapsed="false">
      <c r="A299" s="3" t="n">
        <v>298</v>
      </c>
      <c r="B299" s="3" t="s">
        <v>356</v>
      </c>
      <c r="C299" s="4" t="s">
        <v>357</v>
      </c>
      <c r="D299" s="5" t="s">
        <v>358</v>
      </c>
      <c r="E299" s="4" t="s">
        <v>366</v>
      </c>
      <c r="F299" s="9" t="s">
        <v>370</v>
      </c>
      <c r="G299" s="10" t="n">
        <v>1</v>
      </c>
      <c r="H299" s="7" t="n">
        <v>9</v>
      </c>
      <c r="I299" s="11" t="n">
        <f aca="false">G299+H299</f>
        <v>10</v>
      </c>
      <c r="J299" s="3" t="str">
        <f aca="false">IF(H299=9,IF(G299=9,"즉시 착수",IF(G299=3,"표준화 병행","선결 과제")),IF(H299=3,IF(G299=1,"보류","2단계 확장"),IF(G299=1,"제외","여력 시 수집")))</f>
        <v>선결 과제</v>
      </c>
    </row>
    <row r="300" customFormat="false" ht="15" hidden="false" customHeight="false" outlineLevel="0" collapsed="false">
      <c r="A300" s="3" t="n">
        <v>299</v>
      </c>
      <c r="B300" s="3" t="s">
        <v>356</v>
      </c>
      <c r="C300" s="4" t="s">
        <v>357</v>
      </c>
      <c r="D300" s="5" t="s">
        <v>358</v>
      </c>
      <c r="E300" s="4" t="s">
        <v>366</v>
      </c>
      <c r="F300" s="9" t="s">
        <v>371</v>
      </c>
      <c r="G300" s="10" t="n">
        <v>1</v>
      </c>
      <c r="H300" s="7" t="n">
        <v>9</v>
      </c>
      <c r="I300" s="11" t="n">
        <f aca="false">G300+H300</f>
        <v>10</v>
      </c>
      <c r="J300" s="3" t="str">
        <f aca="false">IF(H300=9,IF(G300=9,"즉시 착수",IF(G300=3,"표준화 병행","선결 과제")),IF(H300=3,IF(G300=1,"보류","2단계 확장"),IF(G300=1,"제외","여력 시 수집")))</f>
        <v>선결 과제</v>
      </c>
    </row>
    <row r="301" customFormat="false" ht="15" hidden="false" customHeight="false" outlineLevel="0" collapsed="false">
      <c r="A301" s="3" t="n">
        <v>300</v>
      </c>
      <c r="B301" s="3" t="s">
        <v>356</v>
      </c>
      <c r="C301" s="4" t="s">
        <v>357</v>
      </c>
      <c r="D301" s="5" t="s">
        <v>358</v>
      </c>
      <c r="E301" s="4" t="s">
        <v>366</v>
      </c>
      <c r="F301" s="9" t="s">
        <v>372</v>
      </c>
      <c r="G301" s="10" t="n">
        <v>1</v>
      </c>
      <c r="H301" s="7" t="n">
        <v>9</v>
      </c>
      <c r="I301" s="11" t="n">
        <f aca="false">G301+H301</f>
        <v>10</v>
      </c>
      <c r="J301" s="3" t="str">
        <f aca="false">IF(H301=9,IF(G301=9,"즉시 착수",IF(G301=3,"표준화 병행","선결 과제")),IF(H301=3,IF(G301=1,"보류","2단계 확장"),IF(G301=1,"제외","여력 시 수집")))</f>
        <v>선결 과제</v>
      </c>
    </row>
    <row r="302" customFormat="false" ht="15" hidden="false" customHeight="false" outlineLevel="0" collapsed="false">
      <c r="A302" s="3" t="n">
        <v>301</v>
      </c>
      <c r="B302" s="3" t="s">
        <v>356</v>
      </c>
      <c r="C302" s="4" t="s">
        <v>357</v>
      </c>
      <c r="D302" s="5" t="s">
        <v>358</v>
      </c>
      <c r="E302" s="4" t="s">
        <v>373</v>
      </c>
      <c r="F302" s="9" t="s">
        <v>374</v>
      </c>
      <c r="G302" s="12" t="n">
        <v>3</v>
      </c>
      <c r="H302" s="7" t="n">
        <v>9</v>
      </c>
      <c r="I302" s="13" t="n">
        <f aca="false">G302+H302</f>
        <v>12</v>
      </c>
      <c r="J302" s="3" t="str">
        <f aca="false">IF(H302=9,IF(G302=9,"즉시 착수",IF(G302=3,"표준화 병행","선결 과제")),IF(H302=3,IF(G302=1,"보류","2단계 확장"),IF(G302=1,"제외","여력 시 수집")))</f>
        <v>표준화 병행</v>
      </c>
    </row>
    <row r="303" customFormat="false" ht="15" hidden="false" customHeight="false" outlineLevel="0" collapsed="false">
      <c r="A303" s="3" t="n">
        <v>302</v>
      </c>
      <c r="B303" s="3" t="s">
        <v>356</v>
      </c>
      <c r="C303" s="4" t="s">
        <v>357</v>
      </c>
      <c r="D303" s="5" t="s">
        <v>358</v>
      </c>
      <c r="E303" s="4" t="s">
        <v>373</v>
      </c>
      <c r="F303" s="9" t="s">
        <v>375</v>
      </c>
      <c r="G303" s="12" t="n">
        <v>3</v>
      </c>
      <c r="H303" s="7" t="n">
        <v>9</v>
      </c>
      <c r="I303" s="13" t="n">
        <f aca="false">G303+H303</f>
        <v>12</v>
      </c>
      <c r="J303" s="3" t="str">
        <f aca="false">IF(H303=9,IF(G303=9,"즉시 착수",IF(G303=3,"표준화 병행","선결 과제")),IF(H303=3,IF(G303=1,"보류","2단계 확장"),IF(G303=1,"제외","여력 시 수집")))</f>
        <v>표준화 병행</v>
      </c>
    </row>
    <row r="304" customFormat="false" ht="15" hidden="false" customHeight="false" outlineLevel="0" collapsed="false">
      <c r="A304" s="3" t="n">
        <v>303</v>
      </c>
      <c r="B304" s="3" t="s">
        <v>356</v>
      </c>
      <c r="C304" s="4" t="s">
        <v>357</v>
      </c>
      <c r="D304" s="5" t="s">
        <v>358</v>
      </c>
      <c r="E304" s="4" t="s">
        <v>373</v>
      </c>
      <c r="F304" s="9" t="s">
        <v>376</v>
      </c>
      <c r="G304" s="12" t="n">
        <v>3</v>
      </c>
      <c r="H304" s="7" t="n">
        <v>9</v>
      </c>
      <c r="I304" s="13" t="n">
        <f aca="false">G304+H304</f>
        <v>12</v>
      </c>
      <c r="J304" s="3" t="str">
        <f aca="false">IF(H304=9,IF(G304=9,"즉시 착수",IF(G304=3,"표준화 병행","선결 과제")),IF(H304=3,IF(G304=1,"보류","2단계 확장"),IF(G304=1,"제외","여력 시 수집")))</f>
        <v>표준화 병행</v>
      </c>
    </row>
    <row r="305" customFormat="false" ht="15" hidden="false" customHeight="false" outlineLevel="0" collapsed="false">
      <c r="A305" s="3" t="n">
        <v>304</v>
      </c>
      <c r="B305" s="3" t="s">
        <v>356</v>
      </c>
      <c r="C305" s="4" t="s">
        <v>357</v>
      </c>
      <c r="D305" s="5" t="s">
        <v>358</v>
      </c>
      <c r="E305" s="4" t="s">
        <v>373</v>
      </c>
      <c r="F305" s="9" t="s">
        <v>377</v>
      </c>
      <c r="G305" s="12" t="n">
        <v>3</v>
      </c>
      <c r="H305" s="7" t="n">
        <v>9</v>
      </c>
      <c r="I305" s="13" t="n">
        <f aca="false">G305+H305</f>
        <v>12</v>
      </c>
      <c r="J305" s="3" t="str">
        <f aca="false">IF(H305=9,IF(G305=9,"즉시 착수",IF(G305=3,"표준화 병행","선결 과제")),IF(H305=3,IF(G305=1,"보류","2단계 확장"),IF(G305=1,"제외","여력 시 수집")))</f>
        <v>표준화 병행</v>
      </c>
    </row>
    <row r="306" customFormat="false" ht="15" hidden="false" customHeight="false" outlineLevel="0" collapsed="false">
      <c r="A306" s="3" t="n">
        <v>305</v>
      </c>
      <c r="B306" s="3" t="s">
        <v>356</v>
      </c>
      <c r="C306" s="4" t="s">
        <v>357</v>
      </c>
      <c r="D306" s="5" t="s">
        <v>358</v>
      </c>
      <c r="E306" s="4" t="s">
        <v>373</v>
      </c>
      <c r="F306" s="9" t="s">
        <v>378</v>
      </c>
      <c r="G306" s="12" t="n">
        <v>3</v>
      </c>
      <c r="H306" s="7" t="n">
        <v>9</v>
      </c>
      <c r="I306" s="13" t="n">
        <f aca="false">G306+H306</f>
        <v>12</v>
      </c>
      <c r="J306" s="3" t="str">
        <f aca="false">IF(H306=9,IF(G306=9,"즉시 착수",IF(G306=3,"표준화 병행","선결 과제")),IF(H306=3,IF(G306=1,"보류","2단계 확장"),IF(G306=1,"제외","여력 시 수집")))</f>
        <v>표준화 병행</v>
      </c>
    </row>
    <row r="307" customFormat="false" ht="15" hidden="false" customHeight="false" outlineLevel="0" collapsed="false">
      <c r="A307" s="3" t="n">
        <v>306</v>
      </c>
      <c r="B307" s="3" t="s">
        <v>356</v>
      </c>
      <c r="C307" s="4" t="s">
        <v>357</v>
      </c>
      <c r="D307" s="5" t="s">
        <v>358</v>
      </c>
      <c r="E307" s="4" t="s">
        <v>373</v>
      </c>
      <c r="F307" s="9" t="s">
        <v>379</v>
      </c>
      <c r="G307" s="12" t="n">
        <v>3</v>
      </c>
      <c r="H307" s="7" t="n">
        <v>9</v>
      </c>
      <c r="I307" s="13" t="n">
        <f aca="false">G307+H307</f>
        <v>12</v>
      </c>
      <c r="J307" s="3" t="str">
        <f aca="false">IF(H307=9,IF(G307=9,"즉시 착수",IF(G307=3,"표준화 병행","선결 과제")),IF(H307=3,IF(G307=1,"보류","2단계 확장"),IF(G307=1,"제외","여력 시 수집")))</f>
        <v>표준화 병행</v>
      </c>
    </row>
    <row r="308" customFormat="false" ht="15" hidden="false" customHeight="false" outlineLevel="0" collapsed="false">
      <c r="A308" s="3" t="n">
        <v>307</v>
      </c>
      <c r="B308" s="3" t="s">
        <v>356</v>
      </c>
      <c r="C308" s="4" t="s">
        <v>357</v>
      </c>
      <c r="D308" s="5" t="s">
        <v>358</v>
      </c>
      <c r="E308" s="4" t="s">
        <v>380</v>
      </c>
      <c r="F308" s="9" t="s">
        <v>381</v>
      </c>
      <c r="G308" s="7" t="n">
        <v>9</v>
      </c>
      <c r="H308" s="7" t="n">
        <v>9</v>
      </c>
      <c r="I308" s="8" t="n">
        <f aca="false">G308+H308</f>
        <v>18</v>
      </c>
      <c r="J308" s="3" t="str">
        <f aca="false">IF(H308=9,IF(G308=9,"즉시 착수",IF(G308=3,"표준화 병행","선결 과제")),IF(H308=3,IF(G308=1,"보류","2단계 확장"),IF(G308=1,"제외","여력 시 수집")))</f>
        <v>즉시 착수</v>
      </c>
    </row>
    <row r="309" customFormat="false" ht="15" hidden="false" customHeight="false" outlineLevel="0" collapsed="false">
      <c r="A309" s="3" t="n">
        <v>308</v>
      </c>
      <c r="B309" s="3" t="s">
        <v>356</v>
      </c>
      <c r="C309" s="4" t="s">
        <v>357</v>
      </c>
      <c r="D309" s="5" t="s">
        <v>358</v>
      </c>
      <c r="E309" s="4" t="s">
        <v>380</v>
      </c>
      <c r="F309" s="9" t="s">
        <v>382</v>
      </c>
      <c r="G309" s="7" t="n">
        <v>9</v>
      </c>
      <c r="H309" s="7" t="n">
        <v>9</v>
      </c>
      <c r="I309" s="8" t="n">
        <f aca="false">G309+H309</f>
        <v>18</v>
      </c>
      <c r="J309" s="3" t="str">
        <f aca="false">IF(H309=9,IF(G309=9,"즉시 착수",IF(G309=3,"표준화 병행","선결 과제")),IF(H309=3,IF(G309=1,"보류","2단계 확장"),IF(G309=1,"제외","여력 시 수집")))</f>
        <v>즉시 착수</v>
      </c>
    </row>
    <row r="310" customFormat="false" ht="15" hidden="false" customHeight="false" outlineLevel="0" collapsed="false">
      <c r="A310" s="3" t="n">
        <v>309</v>
      </c>
      <c r="B310" s="3" t="s">
        <v>356</v>
      </c>
      <c r="C310" s="4" t="s">
        <v>357</v>
      </c>
      <c r="D310" s="5" t="s">
        <v>358</v>
      </c>
      <c r="E310" s="4" t="s">
        <v>380</v>
      </c>
      <c r="F310" s="9" t="s">
        <v>383</v>
      </c>
      <c r="G310" s="7" t="n">
        <v>9</v>
      </c>
      <c r="H310" s="7" t="n">
        <v>9</v>
      </c>
      <c r="I310" s="8" t="n">
        <f aca="false">G310+H310</f>
        <v>18</v>
      </c>
      <c r="J310" s="3" t="str">
        <f aca="false">IF(H310=9,IF(G310=9,"즉시 착수",IF(G310=3,"표준화 병행","선결 과제")),IF(H310=3,IF(G310=1,"보류","2단계 확장"),IF(G310=1,"제외","여력 시 수집")))</f>
        <v>즉시 착수</v>
      </c>
    </row>
    <row r="311" customFormat="false" ht="15" hidden="false" customHeight="false" outlineLevel="0" collapsed="false">
      <c r="A311" s="3" t="n">
        <v>310</v>
      </c>
      <c r="B311" s="3" t="s">
        <v>356</v>
      </c>
      <c r="C311" s="4" t="s">
        <v>357</v>
      </c>
      <c r="D311" s="5" t="s">
        <v>358</v>
      </c>
      <c r="E311" s="4" t="s">
        <v>380</v>
      </c>
      <c r="F311" s="9" t="s">
        <v>384</v>
      </c>
      <c r="G311" s="7" t="n">
        <v>9</v>
      </c>
      <c r="H311" s="7" t="n">
        <v>9</v>
      </c>
      <c r="I311" s="8" t="n">
        <f aca="false">G311+H311</f>
        <v>18</v>
      </c>
      <c r="J311" s="3" t="str">
        <f aca="false">IF(H311=9,IF(G311=9,"즉시 착수",IF(G311=3,"표준화 병행","선결 과제")),IF(H311=3,IF(G311=1,"보류","2단계 확장"),IF(G311=1,"제외","여력 시 수집")))</f>
        <v>즉시 착수</v>
      </c>
    </row>
    <row r="312" customFormat="false" ht="15" hidden="false" customHeight="false" outlineLevel="0" collapsed="false">
      <c r="A312" s="3" t="n">
        <v>311</v>
      </c>
      <c r="B312" s="3" t="s">
        <v>356</v>
      </c>
      <c r="C312" s="4" t="s">
        <v>357</v>
      </c>
      <c r="D312" s="5" t="s">
        <v>358</v>
      </c>
      <c r="E312" s="4" t="s">
        <v>380</v>
      </c>
      <c r="F312" s="9" t="s">
        <v>385</v>
      </c>
      <c r="G312" s="7" t="n">
        <v>9</v>
      </c>
      <c r="H312" s="7" t="n">
        <v>9</v>
      </c>
      <c r="I312" s="8" t="n">
        <f aca="false">G312+H312</f>
        <v>18</v>
      </c>
      <c r="J312" s="3" t="str">
        <f aca="false">IF(H312=9,IF(G312=9,"즉시 착수",IF(G312=3,"표준화 병행","선결 과제")),IF(H312=3,IF(G312=1,"보류","2단계 확장"),IF(G312=1,"제외","여력 시 수집")))</f>
        <v>즉시 착수</v>
      </c>
    </row>
    <row r="313" customFormat="false" ht="15" hidden="false" customHeight="false" outlineLevel="0" collapsed="false">
      <c r="A313" s="3" t="n">
        <v>312</v>
      </c>
      <c r="B313" s="3" t="s">
        <v>356</v>
      </c>
      <c r="C313" s="4" t="s">
        <v>357</v>
      </c>
      <c r="D313" s="5" t="s">
        <v>358</v>
      </c>
      <c r="E313" s="4" t="s">
        <v>380</v>
      </c>
      <c r="F313" s="9" t="s">
        <v>386</v>
      </c>
      <c r="G313" s="7" t="n">
        <v>9</v>
      </c>
      <c r="H313" s="7" t="n">
        <v>9</v>
      </c>
      <c r="I313" s="8" t="n">
        <f aca="false">G313+H313</f>
        <v>18</v>
      </c>
      <c r="J313" s="3" t="str">
        <f aca="false">IF(H313=9,IF(G313=9,"즉시 착수",IF(G313=3,"표준화 병행","선결 과제")),IF(H313=3,IF(G313=1,"보류","2단계 확장"),IF(G313=1,"제외","여력 시 수집")))</f>
        <v>즉시 착수</v>
      </c>
    </row>
    <row r="314" customFormat="false" ht="15" hidden="false" customHeight="false" outlineLevel="0" collapsed="false">
      <c r="A314" s="3" t="n">
        <v>313</v>
      </c>
      <c r="B314" s="3" t="s">
        <v>356</v>
      </c>
      <c r="C314" s="4" t="s">
        <v>357</v>
      </c>
      <c r="D314" s="5" t="s">
        <v>358</v>
      </c>
      <c r="E314" s="4" t="s">
        <v>387</v>
      </c>
      <c r="F314" s="9" t="s">
        <v>388</v>
      </c>
      <c r="G314" s="12" t="n">
        <v>3</v>
      </c>
      <c r="H314" s="7" t="n">
        <v>9</v>
      </c>
      <c r="I314" s="13" t="n">
        <f aca="false">G314+H314</f>
        <v>12</v>
      </c>
      <c r="J314" s="3" t="str">
        <f aca="false">IF(H314=9,IF(G314=9,"즉시 착수",IF(G314=3,"표준화 병행","선결 과제")),IF(H314=3,IF(G314=1,"보류","2단계 확장"),IF(G314=1,"제외","여력 시 수집")))</f>
        <v>표준화 병행</v>
      </c>
    </row>
    <row r="315" customFormat="false" ht="15" hidden="false" customHeight="false" outlineLevel="0" collapsed="false">
      <c r="A315" s="3" t="n">
        <v>314</v>
      </c>
      <c r="B315" s="3" t="s">
        <v>356</v>
      </c>
      <c r="C315" s="4" t="s">
        <v>357</v>
      </c>
      <c r="D315" s="5" t="s">
        <v>358</v>
      </c>
      <c r="E315" s="4" t="s">
        <v>387</v>
      </c>
      <c r="F315" s="6" t="s">
        <v>389</v>
      </c>
      <c r="G315" s="12" t="n">
        <v>3</v>
      </c>
      <c r="H315" s="7" t="n">
        <v>9</v>
      </c>
      <c r="I315" s="13" t="n">
        <f aca="false">G315+H315</f>
        <v>12</v>
      </c>
      <c r="J315" s="3" t="str">
        <f aca="false">IF(H315=9,IF(G315=9,"즉시 착수",IF(G315=3,"표준화 병행","선결 과제")),IF(H315=3,IF(G315=1,"보류","2단계 확장"),IF(G315=1,"제외","여력 시 수집")))</f>
        <v>표준화 병행</v>
      </c>
    </row>
    <row r="316" customFormat="false" ht="15" hidden="false" customHeight="false" outlineLevel="0" collapsed="false">
      <c r="A316" s="3" t="n">
        <v>315</v>
      </c>
      <c r="B316" s="3" t="s">
        <v>356</v>
      </c>
      <c r="C316" s="4" t="s">
        <v>357</v>
      </c>
      <c r="D316" s="5" t="s">
        <v>358</v>
      </c>
      <c r="E316" s="4" t="s">
        <v>387</v>
      </c>
      <c r="F316" s="9" t="s">
        <v>390</v>
      </c>
      <c r="G316" s="12" t="n">
        <v>3</v>
      </c>
      <c r="H316" s="7" t="n">
        <v>9</v>
      </c>
      <c r="I316" s="13" t="n">
        <f aca="false">G316+H316</f>
        <v>12</v>
      </c>
      <c r="J316" s="3" t="str">
        <f aca="false">IF(H316=9,IF(G316=9,"즉시 착수",IF(G316=3,"표준화 병행","선결 과제")),IF(H316=3,IF(G316=1,"보류","2단계 확장"),IF(G316=1,"제외","여력 시 수집")))</f>
        <v>표준화 병행</v>
      </c>
    </row>
    <row r="317" customFormat="false" ht="15" hidden="false" customHeight="false" outlineLevel="0" collapsed="false">
      <c r="A317" s="3" t="n">
        <v>316</v>
      </c>
      <c r="B317" s="3" t="s">
        <v>356</v>
      </c>
      <c r="C317" s="4" t="s">
        <v>357</v>
      </c>
      <c r="D317" s="5" t="s">
        <v>358</v>
      </c>
      <c r="E317" s="4" t="s">
        <v>387</v>
      </c>
      <c r="F317" s="9" t="s">
        <v>391</v>
      </c>
      <c r="G317" s="12" t="n">
        <v>3</v>
      </c>
      <c r="H317" s="7" t="n">
        <v>9</v>
      </c>
      <c r="I317" s="13" t="n">
        <f aca="false">G317+H317</f>
        <v>12</v>
      </c>
      <c r="J317" s="3" t="str">
        <f aca="false">IF(H317=9,IF(G317=9,"즉시 착수",IF(G317=3,"표준화 병행","선결 과제")),IF(H317=3,IF(G317=1,"보류","2단계 확장"),IF(G317=1,"제외","여력 시 수집")))</f>
        <v>표준화 병행</v>
      </c>
    </row>
    <row r="318" customFormat="false" ht="15" hidden="false" customHeight="false" outlineLevel="0" collapsed="false">
      <c r="A318" s="3" t="n">
        <v>317</v>
      </c>
      <c r="B318" s="3" t="s">
        <v>356</v>
      </c>
      <c r="C318" s="4" t="s">
        <v>357</v>
      </c>
      <c r="D318" s="5" t="s">
        <v>358</v>
      </c>
      <c r="E318" s="4" t="s">
        <v>387</v>
      </c>
      <c r="F318" s="9" t="s">
        <v>392</v>
      </c>
      <c r="G318" s="12" t="n">
        <v>3</v>
      </c>
      <c r="H318" s="7" t="n">
        <v>9</v>
      </c>
      <c r="I318" s="13" t="n">
        <f aca="false">G318+H318</f>
        <v>12</v>
      </c>
      <c r="J318" s="3" t="str">
        <f aca="false">IF(H318=9,IF(G318=9,"즉시 착수",IF(G318=3,"표준화 병행","선결 과제")),IF(H318=3,IF(G318=1,"보류","2단계 확장"),IF(G318=1,"제외","여력 시 수집")))</f>
        <v>표준화 병행</v>
      </c>
    </row>
    <row r="319" customFormat="false" ht="15" hidden="false" customHeight="false" outlineLevel="0" collapsed="false">
      <c r="A319" s="3" t="n">
        <v>318</v>
      </c>
      <c r="B319" s="3" t="s">
        <v>356</v>
      </c>
      <c r="C319" s="4" t="s">
        <v>357</v>
      </c>
      <c r="D319" s="5" t="s">
        <v>358</v>
      </c>
      <c r="E319" s="4" t="s">
        <v>387</v>
      </c>
      <c r="F319" s="9" t="s">
        <v>393</v>
      </c>
      <c r="G319" s="10" t="n">
        <v>1</v>
      </c>
      <c r="H319" s="7" t="n">
        <v>9</v>
      </c>
      <c r="I319" s="11" t="n">
        <f aca="false">G319+H319</f>
        <v>10</v>
      </c>
      <c r="J319" s="3" t="str">
        <f aca="false">IF(H319=9,IF(G319=9,"즉시 착수",IF(G319=3,"표준화 병행","선결 과제")),IF(H319=3,IF(G319=1,"보류","2단계 확장"),IF(G319=1,"제외","여력 시 수집")))</f>
        <v>선결 과제</v>
      </c>
    </row>
    <row r="320" customFormat="false" ht="15" hidden="false" customHeight="false" outlineLevel="0" collapsed="false">
      <c r="A320" s="3" t="n">
        <v>319</v>
      </c>
      <c r="B320" s="3" t="s">
        <v>356</v>
      </c>
      <c r="C320" s="4" t="s">
        <v>357</v>
      </c>
      <c r="D320" s="5" t="s">
        <v>358</v>
      </c>
      <c r="E320" s="4" t="s">
        <v>394</v>
      </c>
      <c r="F320" s="9" t="s">
        <v>395</v>
      </c>
      <c r="G320" s="12" t="n">
        <v>3</v>
      </c>
      <c r="H320" s="7" t="n">
        <v>9</v>
      </c>
      <c r="I320" s="13" t="n">
        <f aca="false">G320+H320</f>
        <v>12</v>
      </c>
      <c r="J320" s="3" t="str">
        <f aca="false">IF(H320=9,IF(G320=9,"즉시 착수",IF(G320=3,"표준화 병행","선결 과제")),IF(H320=3,IF(G320=1,"보류","2단계 확장"),IF(G320=1,"제외","여력 시 수집")))</f>
        <v>표준화 병행</v>
      </c>
    </row>
    <row r="321" customFormat="false" ht="15" hidden="false" customHeight="false" outlineLevel="0" collapsed="false">
      <c r="A321" s="3" t="n">
        <v>320</v>
      </c>
      <c r="B321" s="3" t="s">
        <v>356</v>
      </c>
      <c r="C321" s="4" t="s">
        <v>357</v>
      </c>
      <c r="D321" s="5" t="s">
        <v>358</v>
      </c>
      <c r="E321" s="4" t="s">
        <v>394</v>
      </c>
      <c r="F321" s="9" t="s">
        <v>396</v>
      </c>
      <c r="G321" s="12" t="n">
        <v>3</v>
      </c>
      <c r="H321" s="7" t="n">
        <v>9</v>
      </c>
      <c r="I321" s="13" t="n">
        <f aca="false">G321+H321</f>
        <v>12</v>
      </c>
      <c r="J321" s="3" t="str">
        <f aca="false">IF(H321=9,IF(G321=9,"즉시 착수",IF(G321=3,"표준화 병행","선결 과제")),IF(H321=3,IF(G321=1,"보류","2단계 확장"),IF(G321=1,"제외","여력 시 수집")))</f>
        <v>표준화 병행</v>
      </c>
    </row>
    <row r="322" customFormat="false" ht="15" hidden="false" customHeight="false" outlineLevel="0" collapsed="false">
      <c r="A322" s="3" t="n">
        <v>321</v>
      </c>
      <c r="B322" s="3" t="s">
        <v>356</v>
      </c>
      <c r="C322" s="4" t="s">
        <v>357</v>
      </c>
      <c r="D322" s="5" t="s">
        <v>358</v>
      </c>
      <c r="E322" s="4" t="s">
        <v>394</v>
      </c>
      <c r="F322" s="9" t="s">
        <v>397</v>
      </c>
      <c r="G322" s="12" t="n">
        <v>3</v>
      </c>
      <c r="H322" s="7" t="n">
        <v>9</v>
      </c>
      <c r="I322" s="13" t="n">
        <f aca="false">G322+H322</f>
        <v>12</v>
      </c>
      <c r="J322" s="3" t="str">
        <f aca="false">IF(H322=9,IF(G322=9,"즉시 착수",IF(G322=3,"표준화 병행","선결 과제")),IF(H322=3,IF(G322=1,"보류","2단계 확장"),IF(G322=1,"제외","여력 시 수집")))</f>
        <v>표준화 병행</v>
      </c>
    </row>
    <row r="323" customFormat="false" ht="15" hidden="false" customHeight="false" outlineLevel="0" collapsed="false">
      <c r="A323" s="3" t="n">
        <v>322</v>
      </c>
      <c r="B323" s="3" t="s">
        <v>356</v>
      </c>
      <c r="C323" s="4" t="s">
        <v>357</v>
      </c>
      <c r="D323" s="5" t="s">
        <v>358</v>
      </c>
      <c r="E323" s="4" t="s">
        <v>394</v>
      </c>
      <c r="F323" s="9" t="s">
        <v>398</v>
      </c>
      <c r="G323" s="12" t="n">
        <v>3</v>
      </c>
      <c r="H323" s="7" t="n">
        <v>9</v>
      </c>
      <c r="I323" s="13" t="n">
        <f aca="false">G323+H323</f>
        <v>12</v>
      </c>
      <c r="J323" s="3" t="str">
        <f aca="false">IF(H323=9,IF(G323=9,"즉시 착수",IF(G323=3,"표준화 병행","선결 과제")),IF(H323=3,IF(G323=1,"보류","2단계 확장"),IF(G323=1,"제외","여력 시 수집")))</f>
        <v>표준화 병행</v>
      </c>
    </row>
    <row r="324" customFormat="false" ht="15" hidden="false" customHeight="false" outlineLevel="0" collapsed="false">
      <c r="A324" s="3" t="n">
        <v>323</v>
      </c>
      <c r="B324" s="3" t="s">
        <v>356</v>
      </c>
      <c r="C324" s="4" t="s">
        <v>357</v>
      </c>
      <c r="D324" s="5" t="s">
        <v>358</v>
      </c>
      <c r="E324" s="4" t="s">
        <v>394</v>
      </c>
      <c r="F324" s="9" t="s">
        <v>399</v>
      </c>
      <c r="G324" s="7" t="n">
        <v>9</v>
      </c>
      <c r="H324" s="7" t="n">
        <v>9</v>
      </c>
      <c r="I324" s="8" t="n">
        <f aca="false">G324+H324</f>
        <v>18</v>
      </c>
      <c r="J324" s="3" t="str">
        <f aca="false">IF(H324=9,IF(G324=9,"즉시 착수",IF(G324=3,"표준화 병행","선결 과제")),IF(H324=3,IF(G324=1,"보류","2단계 확장"),IF(G324=1,"제외","여력 시 수집")))</f>
        <v>즉시 착수</v>
      </c>
    </row>
    <row r="325" customFormat="false" ht="15" hidden="false" customHeight="false" outlineLevel="0" collapsed="false">
      <c r="A325" s="3" t="n">
        <v>324</v>
      </c>
      <c r="B325" s="3" t="s">
        <v>356</v>
      </c>
      <c r="C325" s="4" t="s">
        <v>357</v>
      </c>
      <c r="D325" s="5" t="s">
        <v>358</v>
      </c>
      <c r="E325" s="4" t="s">
        <v>394</v>
      </c>
      <c r="F325" s="9" t="s">
        <v>400</v>
      </c>
      <c r="G325" s="12" t="n">
        <v>3</v>
      </c>
      <c r="H325" s="7" t="n">
        <v>9</v>
      </c>
      <c r="I325" s="13" t="n">
        <f aca="false">G325+H325</f>
        <v>12</v>
      </c>
      <c r="J325" s="3" t="str">
        <f aca="false">IF(H325=9,IF(G325=9,"즉시 착수",IF(G325=3,"표준화 병행","선결 과제")),IF(H325=3,IF(G325=1,"보류","2단계 확장"),IF(G325=1,"제외","여력 시 수집")))</f>
        <v>표준화 병행</v>
      </c>
    </row>
    <row r="326" customFormat="false" ht="15" hidden="false" customHeight="false" outlineLevel="0" collapsed="false">
      <c r="A326" s="3" t="n">
        <v>325</v>
      </c>
      <c r="B326" s="3" t="s">
        <v>356</v>
      </c>
      <c r="C326" s="4" t="s">
        <v>357</v>
      </c>
      <c r="D326" s="5" t="s">
        <v>358</v>
      </c>
      <c r="E326" s="4" t="s">
        <v>401</v>
      </c>
      <c r="F326" s="9" t="s">
        <v>402</v>
      </c>
      <c r="G326" s="7" t="n">
        <v>9</v>
      </c>
      <c r="H326" s="7" t="n">
        <v>9</v>
      </c>
      <c r="I326" s="8" t="n">
        <f aca="false">G326+H326</f>
        <v>18</v>
      </c>
      <c r="J326" s="3" t="str">
        <f aca="false">IF(H326=9,IF(G326=9,"즉시 착수",IF(G326=3,"표준화 병행","선결 과제")),IF(H326=3,IF(G326=1,"보류","2단계 확장"),IF(G326=1,"제외","여력 시 수집")))</f>
        <v>즉시 착수</v>
      </c>
    </row>
    <row r="327" customFormat="false" ht="15" hidden="false" customHeight="false" outlineLevel="0" collapsed="false">
      <c r="A327" s="3" t="n">
        <v>326</v>
      </c>
      <c r="B327" s="3" t="s">
        <v>356</v>
      </c>
      <c r="C327" s="4" t="s">
        <v>357</v>
      </c>
      <c r="D327" s="5" t="s">
        <v>358</v>
      </c>
      <c r="E327" s="4" t="s">
        <v>401</v>
      </c>
      <c r="F327" s="9" t="s">
        <v>403</v>
      </c>
      <c r="G327" s="7" t="n">
        <v>9</v>
      </c>
      <c r="H327" s="7" t="n">
        <v>9</v>
      </c>
      <c r="I327" s="8" t="n">
        <f aca="false">G327+H327</f>
        <v>18</v>
      </c>
      <c r="J327" s="3" t="str">
        <f aca="false">IF(H327=9,IF(G327=9,"즉시 착수",IF(G327=3,"표준화 병행","선결 과제")),IF(H327=3,IF(G327=1,"보류","2단계 확장"),IF(G327=1,"제외","여력 시 수집")))</f>
        <v>즉시 착수</v>
      </c>
    </row>
    <row r="328" customFormat="false" ht="15" hidden="false" customHeight="false" outlineLevel="0" collapsed="false">
      <c r="A328" s="3" t="n">
        <v>327</v>
      </c>
      <c r="B328" s="3" t="s">
        <v>356</v>
      </c>
      <c r="C328" s="4" t="s">
        <v>357</v>
      </c>
      <c r="D328" s="5" t="s">
        <v>358</v>
      </c>
      <c r="E328" s="4" t="s">
        <v>401</v>
      </c>
      <c r="F328" s="9" t="s">
        <v>404</v>
      </c>
      <c r="G328" s="7" t="n">
        <v>9</v>
      </c>
      <c r="H328" s="7" t="n">
        <v>9</v>
      </c>
      <c r="I328" s="8" t="n">
        <f aca="false">G328+H328</f>
        <v>18</v>
      </c>
      <c r="J328" s="3" t="str">
        <f aca="false">IF(H328=9,IF(G328=9,"즉시 착수",IF(G328=3,"표준화 병행","선결 과제")),IF(H328=3,IF(G328=1,"보류","2단계 확장"),IF(G328=1,"제외","여력 시 수집")))</f>
        <v>즉시 착수</v>
      </c>
    </row>
    <row r="329" customFormat="false" ht="15" hidden="false" customHeight="false" outlineLevel="0" collapsed="false">
      <c r="A329" s="3" t="n">
        <v>328</v>
      </c>
      <c r="B329" s="3" t="s">
        <v>356</v>
      </c>
      <c r="C329" s="4" t="s">
        <v>357</v>
      </c>
      <c r="D329" s="5" t="s">
        <v>358</v>
      </c>
      <c r="E329" s="4" t="s">
        <v>401</v>
      </c>
      <c r="F329" s="9" t="s">
        <v>405</v>
      </c>
      <c r="G329" s="7" t="n">
        <v>9</v>
      </c>
      <c r="H329" s="7" t="n">
        <v>9</v>
      </c>
      <c r="I329" s="8" t="n">
        <f aca="false">G329+H329</f>
        <v>18</v>
      </c>
      <c r="J329" s="3" t="str">
        <f aca="false">IF(H329=9,IF(G329=9,"즉시 착수",IF(G329=3,"표준화 병행","선결 과제")),IF(H329=3,IF(G329=1,"보류","2단계 확장"),IF(G329=1,"제외","여력 시 수집")))</f>
        <v>즉시 착수</v>
      </c>
    </row>
    <row r="330" customFormat="false" ht="15" hidden="false" customHeight="false" outlineLevel="0" collapsed="false">
      <c r="A330" s="3" t="n">
        <v>329</v>
      </c>
      <c r="B330" s="3" t="s">
        <v>356</v>
      </c>
      <c r="C330" s="4" t="s">
        <v>357</v>
      </c>
      <c r="D330" s="5" t="s">
        <v>358</v>
      </c>
      <c r="E330" s="4" t="s">
        <v>401</v>
      </c>
      <c r="F330" s="9" t="s">
        <v>406</v>
      </c>
      <c r="G330" s="7" t="n">
        <v>9</v>
      </c>
      <c r="H330" s="7" t="n">
        <v>9</v>
      </c>
      <c r="I330" s="8" t="n">
        <f aca="false">G330+H330</f>
        <v>18</v>
      </c>
      <c r="J330" s="3" t="str">
        <f aca="false">IF(H330=9,IF(G330=9,"즉시 착수",IF(G330=3,"표준화 병행","선결 과제")),IF(H330=3,IF(G330=1,"보류","2단계 확장"),IF(G330=1,"제외","여력 시 수집")))</f>
        <v>즉시 착수</v>
      </c>
    </row>
    <row r="331" customFormat="false" ht="15" hidden="false" customHeight="false" outlineLevel="0" collapsed="false">
      <c r="A331" s="3" t="n">
        <v>330</v>
      </c>
      <c r="B331" s="3" t="s">
        <v>356</v>
      </c>
      <c r="C331" s="4" t="s">
        <v>357</v>
      </c>
      <c r="D331" s="5" t="s">
        <v>358</v>
      </c>
      <c r="E331" s="4" t="s">
        <v>401</v>
      </c>
      <c r="F331" s="9" t="s">
        <v>407</v>
      </c>
      <c r="G331" s="7" t="n">
        <v>9</v>
      </c>
      <c r="H331" s="7" t="n">
        <v>9</v>
      </c>
      <c r="I331" s="8" t="n">
        <f aca="false">G331+H331</f>
        <v>18</v>
      </c>
      <c r="J331" s="3" t="str">
        <f aca="false">IF(H331=9,IF(G331=9,"즉시 착수",IF(G331=3,"표준화 병행","선결 과제")),IF(H331=3,IF(G331=1,"보류","2단계 확장"),IF(G331=1,"제외","여력 시 수집")))</f>
        <v>즉시 착수</v>
      </c>
    </row>
    <row r="332" customFormat="false" ht="15" hidden="false" customHeight="false" outlineLevel="0" collapsed="false">
      <c r="A332" s="3" t="n">
        <v>331</v>
      </c>
      <c r="B332" s="3" t="s">
        <v>356</v>
      </c>
      <c r="C332" s="4" t="s">
        <v>357</v>
      </c>
      <c r="D332" s="5" t="s">
        <v>358</v>
      </c>
      <c r="E332" s="4" t="s">
        <v>408</v>
      </c>
      <c r="F332" s="9" t="s">
        <v>409</v>
      </c>
      <c r="G332" s="7" t="n">
        <v>9</v>
      </c>
      <c r="H332" s="12" t="n">
        <v>3</v>
      </c>
      <c r="I332" s="13" t="n">
        <f aca="false">G332+H332</f>
        <v>12</v>
      </c>
      <c r="J332" s="3" t="str">
        <f aca="false">IF(H332=9,IF(G332=9,"즉시 착수",IF(G332=3,"표준화 병행","선결 과제")),IF(H332=3,IF(G332=1,"보류","2단계 확장"),IF(G332=1,"제외","여력 시 수집")))</f>
        <v>2단계 확장</v>
      </c>
    </row>
    <row r="333" customFormat="false" ht="15" hidden="false" customHeight="false" outlineLevel="0" collapsed="false">
      <c r="A333" s="3" t="n">
        <v>332</v>
      </c>
      <c r="B333" s="3" t="s">
        <v>356</v>
      </c>
      <c r="C333" s="4" t="s">
        <v>357</v>
      </c>
      <c r="D333" s="5" t="s">
        <v>358</v>
      </c>
      <c r="E333" s="4" t="s">
        <v>408</v>
      </c>
      <c r="F333" s="9" t="s">
        <v>410</v>
      </c>
      <c r="G333" s="7" t="n">
        <v>9</v>
      </c>
      <c r="H333" s="12" t="n">
        <v>3</v>
      </c>
      <c r="I333" s="13" t="n">
        <f aca="false">G333+H333</f>
        <v>12</v>
      </c>
      <c r="J333" s="3" t="str">
        <f aca="false">IF(H333=9,IF(G333=9,"즉시 착수",IF(G333=3,"표준화 병행","선결 과제")),IF(H333=3,IF(G333=1,"보류","2단계 확장"),IF(G333=1,"제외","여력 시 수집")))</f>
        <v>2단계 확장</v>
      </c>
    </row>
    <row r="334" customFormat="false" ht="15" hidden="false" customHeight="false" outlineLevel="0" collapsed="false">
      <c r="A334" s="3" t="n">
        <v>333</v>
      </c>
      <c r="B334" s="3" t="s">
        <v>356</v>
      </c>
      <c r="C334" s="4" t="s">
        <v>357</v>
      </c>
      <c r="D334" s="5" t="s">
        <v>358</v>
      </c>
      <c r="E334" s="4" t="s">
        <v>408</v>
      </c>
      <c r="F334" s="9" t="s">
        <v>411</v>
      </c>
      <c r="G334" s="7" t="n">
        <v>9</v>
      </c>
      <c r="H334" s="12" t="n">
        <v>3</v>
      </c>
      <c r="I334" s="13" t="n">
        <f aca="false">G334+H334</f>
        <v>12</v>
      </c>
      <c r="J334" s="3" t="str">
        <f aca="false">IF(H334=9,IF(G334=9,"즉시 착수",IF(G334=3,"표준화 병행","선결 과제")),IF(H334=3,IF(G334=1,"보류","2단계 확장"),IF(G334=1,"제외","여력 시 수집")))</f>
        <v>2단계 확장</v>
      </c>
    </row>
    <row r="335" customFormat="false" ht="15" hidden="false" customHeight="false" outlineLevel="0" collapsed="false">
      <c r="A335" s="3" t="n">
        <v>334</v>
      </c>
      <c r="B335" s="3" t="s">
        <v>356</v>
      </c>
      <c r="C335" s="4" t="s">
        <v>357</v>
      </c>
      <c r="D335" s="5" t="s">
        <v>358</v>
      </c>
      <c r="E335" s="4" t="s">
        <v>408</v>
      </c>
      <c r="F335" s="9" t="s">
        <v>412</v>
      </c>
      <c r="G335" s="7" t="n">
        <v>9</v>
      </c>
      <c r="H335" s="12" t="n">
        <v>3</v>
      </c>
      <c r="I335" s="13" t="n">
        <f aca="false">G335+H335</f>
        <v>12</v>
      </c>
      <c r="J335" s="3" t="str">
        <f aca="false">IF(H335=9,IF(G335=9,"즉시 착수",IF(G335=3,"표준화 병행","선결 과제")),IF(H335=3,IF(G335=1,"보류","2단계 확장"),IF(G335=1,"제외","여력 시 수집")))</f>
        <v>2단계 확장</v>
      </c>
    </row>
    <row r="336" customFormat="false" ht="15" hidden="false" customHeight="false" outlineLevel="0" collapsed="false">
      <c r="A336" s="3" t="n">
        <v>335</v>
      </c>
      <c r="B336" s="3" t="s">
        <v>356</v>
      </c>
      <c r="C336" s="4" t="s">
        <v>357</v>
      </c>
      <c r="D336" s="5" t="s">
        <v>358</v>
      </c>
      <c r="E336" s="4" t="s">
        <v>408</v>
      </c>
      <c r="F336" s="9" t="s">
        <v>413</v>
      </c>
      <c r="G336" s="7" t="n">
        <v>9</v>
      </c>
      <c r="H336" s="12" t="n">
        <v>3</v>
      </c>
      <c r="I336" s="13" t="n">
        <f aca="false">G336+H336</f>
        <v>12</v>
      </c>
      <c r="J336" s="3" t="str">
        <f aca="false">IF(H336=9,IF(G336=9,"즉시 착수",IF(G336=3,"표준화 병행","선결 과제")),IF(H336=3,IF(G336=1,"보류","2단계 확장"),IF(G336=1,"제외","여력 시 수집")))</f>
        <v>2단계 확장</v>
      </c>
    </row>
    <row r="337" customFormat="false" ht="15" hidden="false" customHeight="false" outlineLevel="0" collapsed="false">
      <c r="A337" s="3" t="n">
        <v>336</v>
      </c>
      <c r="B337" s="3" t="s">
        <v>356</v>
      </c>
      <c r="C337" s="4" t="s">
        <v>357</v>
      </c>
      <c r="D337" s="5" t="s">
        <v>358</v>
      </c>
      <c r="E337" s="4" t="s">
        <v>408</v>
      </c>
      <c r="F337" s="9" t="s">
        <v>414</v>
      </c>
      <c r="G337" s="7" t="n">
        <v>9</v>
      </c>
      <c r="H337" s="12" t="n">
        <v>3</v>
      </c>
      <c r="I337" s="13" t="n">
        <f aca="false">G337+H337</f>
        <v>12</v>
      </c>
      <c r="J337" s="3" t="str">
        <f aca="false">IF(H337=9,IF(G337=9,"즉시 착수",IF(G337=3,"표준화 병행","선결 과제")),IF(H337=3,IF(G337=1,"보류","2단계 확장"),IF(G337=1,"제외","여력 시 수집")))</f>
        <v>2단계 확장</v>
      </c>
    </row>
    <row r="338" customFormat="false" ht="15" hidden="false" customHeight="false" outlineLevel="0" collapsed="false">
      <c r="A338" s="3" t="n">
        <v>337</v>
      </c>
      <c r="B338" s="3" t="s">
        <v>415</v>
      </c>
      <c r="C338" s="4" t="s">
        <v>416</v>
      </c>
      <c r="D338" s="5" t="s">
        <v>358</v>
      </c>
      <c r="E338" s="4" t="s">
        <v>417</v>
      </c>
      <c r="F338" s="9" t="s">
        <v>418</v>
      </c>
      <c r="G338" s="7" t="n">
        <v>9</v>
      </c>
      <c r="H338" s="7" t="n">
        <v>9</v>
      </c>
      <c r="I338" s="8" t="n">
        <f aca="false">G338+H338</f>
        <v>18</v>
      </c>
      <c r="J338" s="3" t="str">
        <f aca="false">IF(H338=9,IF(G338=9,"즉시 착수",IF(G338=3,"표준화 병행","선결 과제")),IF(H338=3,IF(G338=1,"보류","2단계 확장"),IF(G338=1,"제외","여력 시 수집")))</f>
        <v>즉시 착수</v>
      </c>
    </row>
    <row r="339" customFormat="false" ht="15" hidden="false" customHeight="false" outlineLevel="0" collapsed="false">
      <c r="A339" s="3" t="n">
        <v>338</v>
      </c>
      <c r="B339" s="3" t="s">
        <v>415</v>
      </c>
      <c r="C339" s="4" t="s">
        <v>416</v>
      </c>
      <c r="D339" s="5" t="s">
        <v>358</v>
      </c>
      <c r="E339" s="4" t="s">
        <v>417</v>
      </c>
      <c r="F339" s="9" t="s">
        <v>419</v>
      </c>
      <c r="G339" s="7" t="n">
        <v>9</v>
      </c>
      <c r="H339" s="7" t="n">
        <v>9</v>
      </c>
      <c r="I339" s="8" t="n">
        <f aca="false">G339+H339</f>
        <v>18</v>
      </c>
      <c r="J339" s="3" t="str">
        <f aca="false">IF(H339=9,IF(G339=9,"즉시 착수",IF(G339=3,"표준화 병행","선결 과제")),IF(H339=3,IF(G339=1,"보류","2단계 확장"),IF(G339=1,"제외","여력 시 수집")))</f>
        <v>즉시 착수</v>
      </c>
    </row>
    <row r="340" customFormat="false" ht="15" hidden="false" customHeight="false" outlineLevel="0" collapsed="false">
      <c r="A340" s="3" t="n">
        <v>339</v>
      </c>
      <c r="B340" s="3" t="s">
        <v>415</v>
      </c>
      <c r="C340" s="4" t="s">
        <v>416</v>
      </c>
      <c r="D340" s="5" t="s">
        <v>358</v>
      </c>
      <c r="E340" s="4" t="s">
        <v>417</v>
      </c>
      <c r="F340" s="9" t="s">
        <v>420</v>
      </c>
      <c r="G340" s="7" t="n">
        <v>9</v>
      </c>
      <c r="H340" s="7" t="n">
        <v>9</v>
      </c>
      <c r="I340" s="8" t="n">
        <f aca="false">G340+H340</f>
        <v>18</v>
      </c>
      <c r="J340" s="3" t="str">
        <f aca="false">IF(H340=9,IF(G340=9,"즉시 착수",IF(G340=3,"표준화 병행","선결 과제")),IF(H340=3,IF(G340=1,"보류","2단계 확장"),IF(G340=1,"제외","여력 시 수집")))</f>
        <v>즉시 착수</v>
      </c>
    </row>
    <row r="341" customFormat="false" ht="15" hidden="false" customHeight="false" outlineLevel="0" collapsed="false">
      <c r="A341" s="3" t="n">
        <v>340</v>
      </c>
      <c r="B341" s="3" t="s">
        <v>415</v>
      </c>
      <c r="C341" s="4" t="s">
        <v>416</v>
      </c>
      <c r="D341" s="5" t="s">
        <v>358</v>
      </c>
      <c r="E341" s="4" t="s">
        <v>417</v>
      </c>
      <c r="F341" s="9" t="s">
        <v>384</v>
      </c>
      <c r="G341" s="7" t="n">
        <v>9</v>
      </c>
      <c r="H341" s="7" t="n">
        <v>9</v>
      </c>
      <c r="I341" s="8" t="n">
        <f aca="false">G341+H341</f>
        <v>18</v>
      </c>
      <c r="J341" s="3" t="str">
        <f aca="false">IF(H341=9,IF(G341=9,"즉시 착수",IF(G341=3,"표준화 병행","선결 과제")),IF(H341=3,IF(G341=1,"보류","2단계 확장"),IF(G341=1,"제외","여력 시 수집")))</f>
        <v>즉시 착수</v>
      </c>
    </row>
    <row r="342" customFormat="false" ht="15" hidden="false" customHeight="false" outlineLevel="0" collapsed="false">
      <c r="A342" s="3" t="n">
        <v>341</v>
      </c>
      <c r="B342" s="3" t="s">
        <v>415</v>
      </c>
      <c r="C342" s="4" t="s">
        <v>416</v>
      </c>
      <c r="D342" s="5" t="s">
        <v>358</v>
      </c>
      <c r="E342" s="4" t="s">
        <v>417</v>
      </c>
      <c r="F342" s="9" t="s">
        <v>421</v>
      </c>
      <c r="G342" s="7" t="n">
        <v>9</v>
      </c>
      <c r="H342" s="7" t="n">
        <v>9</v>
      </c>
      <c r="I342" s="8" t="n">
        <f aca="false">G342+H342</f>
        <v>18</v>
      </c>
      <c r="J342" s="3" t="str">
        <f aca="false">IF(H342=9,IF(G342=9,"즉시 착수",IF(G342=3,"표준화 병행","선결 과제")),IF(H342=3,IF(G342=1,"보류","2단계 확장"),IF(G342=1,"제외","여력 시 수집")))</f>
        <v>즉시 착수</v>
      </c>
    </row>
    <row r="343" customFormat="false" ht="15" hidden="false" customHeight="false" outlineLevel="0" collapsed="false">
      <c r="A343" s="3" t="n">
        <v>342</v>
      </c>
      <c r="B343" s="3" t="s">
        <v>415</v>
      </c>
      <c r="C343" s="4" t="s">
        <v>416</v>
      </c>
      <c r="D343" s="5" t="s">
        <v>358</v>
      </c>
      <c r="E343" s="4" t="s">
        <v>417</v>
      </c>
      <c r="F343" s="9" t="s">
        <v>422</v>
      </c>
      <c r="G343" s="7" t="n">
        <v>9</v>
      </c>
      <c r="H343" s="7" t="n">
        <v>9</v>
      </c>
      <c r="I343" s="8" t="n">
        <f aca="false">G343+H343</f>
        <v>18</v>
      </c>
      <c r="J343" s="3" t="str">
        <f aca="false">IF(H343=9,IF(G343=9,"즉시 착수",IF(G343=3,"표준화 병행","선결 과제")),IF(H343=3,IF(G343=1,"보류","2단계 확장"),IF(G343=1,"제외","여력 시 수집")))</f>
        <v>즉시 착수</v>
      </c>
    </row>
    <row r="344" customFormat="false" ht="15" hidden="false" customHeight="false" outlineLevel="0" collapsed="false">
      <c r="A344" s="3" t="n">
        <v>343</v>
      </c>
      <c r="B344" s="3" t="s">
        <v>415</v>
      </c>
      <c r="C344" s="4" t="s">
        <v>416</v>
      </c>
      <c r="D344" s="5" t="s">
        <v>358</v>
      </c>
      <c r="E344" s="4" t="s">
        <v>423</v>
      </c>
      <c r="F344" s="9" t="s">
        <v>424</v>
      </c>
      <c r="G344" s="12" t="n">
        <v>3</v>
      </c>
      <c r="H344" s="12" t="n">
        <v>3</v>
      </c>
      <c r="I344" s="15" t="n">
        <f aca="false">G344+H344</f>
        <v>6</v>
      </c>
      <c r="J344" s="3" t="str">
        <f aca="false">IF(H344=9,IF(G344=9,"즉시 착수",IF(G344=3,"표준화 병행","선결 과제")),IF(H344=3,IF(G344=1,"보류","2단계 확장"),IF(G344=1,"제외","여력 시 수집")))</f>
        <v>2단계 확장</v>
      </c>
    </row>
    <row r="345" customFormat="false" ht="15" hidden="false" customHeight="false" outlineLevel="0" collapsed="false">
      <c r="A345" s="3" t="n">
        <v>344</v>
      </c>
      <c r="B345" s="3" t="s">
        <v>415</v>
      </c>
      <c r="C345" s="4" t="s">
        <v>416</v>
      </c>
      <c r="D345" s="5" t="s">
        <v>358</v>
      </c>
      <c r="E345" s="4" t="s">
        <v>423</v>
      </c>
      <c r="F345" s="9" t="s">
        <v>425</v>
      </c>
      <c r="G345" s="12" t="n">
        <v>3</v>
      </c>
      <c r="H345" s="12" t="n">
        <v>3</v>
      </c>
      <c r="I345" s="15" t="n">
        <f aca="false">G345+H345</f>
        <v>6</v>
      </c>
      <c r="J345" s="3" t="str">
        <f aca="false">IF(H345=9,IF(G345=9,"즉시 착수",IF(G345=3,"표준화 병행","선결 과제")),IF(H345=3,IF(G345=1,"보류","2단계 확장"),IF(G345=1,"제외","여력 시 수집")))</f>
        <v>2단계 확장</v>
      </c>
    </row>
    <row r="346" customFormat="false" ht="15" hidden="false" customHeight="false" outlineLevel="0" collapsed="false">
      <c r="A346" s="3" t="n">
        <v>345</v>
      </c>
      <c r="B346" s="3" t="s">
        <v>415</v>
      </c>
      <c r="C346" s="4" t="s">
        <v>416</v>
      </c>
      <c r="D346" s="5" t="s">
        <v>358</v>
      </c>
      <c r="E346" s="4" t="s">
        <v>423</v>
      </c>
      <c r="F346" s="9" t="s">
        <v>426</v>
      </c>
      <c r="G346" s="12" t="n">
        <v>3</v>
      </c>
      <c r="H346" s="12" t="n">
        <v>3</v>
      </c>
      <c r="I346" s="15" t="n">
        <f aca="false">G346+H346</f>
        <v>6</v>
      </c>
      <c r="J346" s="3" t="str">
        <f aca="false">IF(H346=9,IF(G346=9,"즉시 착수",IF(G346=3,"표준화 병행","선결 과제")),IF(H346=3,IF(G346=1,"보류","2단계 확장"),IF(G346=1,"제외","여력 시 수집")))</f>
        <v>2단계 확장</v>
      </c>
    </row>
    <row r="347" customFormat="false" ht="15" hidden="false" customHeight="false" outlineLevel="0" collapsed="false">
      <c r="A347" s="3" t="n">
        <v>346</v>
      </c>
      <c r="B347" s="3" t="s">
        <v>415</v>
      </c>
      <c r="C347" s="4" t="s">
        <v>416</v>
      </c>
      <c r="D347" s="5" t="s">
        <v>358</v>
      </c>
      <c r="E347" s="4" t="s">
        <v>423</v>
      </c>
      <c r="F347" s="9" t="s">
        <v>427</v>
      </c>
      <c r="G347" s="12" t="n">
        <v>3</v>
      </c>
      <c r="H347" s="12" t="n">
        <v>3</v>
      </c>
      <c r="I347" s="15" t="n">
        <f aca="false">G347+H347</f>
        <v>6</v>
      </c>
      <c r="J347" s="3" t="str">
        <f aca="false">IF(H347=9,IF(G347=9,"즉시 착수",IF(G347=3,"표준화 병행","선결 과제")),IF(H347=3,IF(G347=1,"보류","2단계 확장"),IF(G347=1,"제외","여력 시 수집")))</f>
        <v>2단계 확장</v>
      </c>
    </row>
    <row r="348" customFormat="false" ht="15" hidden="false" customHeight="false" outlineLevel="0" collapsed="false">
      <c r="A348" s="3" t="n">
        <v>347</v>
      </c>
      <c r="B348" s="3" t="s">
        <v>415</v>
      </c>
      <c r="C348" s="4" t="s">
        <v>416</v>
      </c>
      <c r="D348" s="5" t="s">
        <v>358</v>
      </c>
      <c r="E348" s="4" t="s">
        <v>423</v>
      </c>
      <c r="F348" s="9" t="s">
        <v>428</v>
      </c>
      <c r="G348" s="12" t="n">
        <v>3</v>
      </c>
      <c r="H348" s="12" t="n">
        <v>3</v>
      </c>
      <c r="I348" s="15" t="n">
        <f aca="false">G348+H348</f>
        <v>6</v>
      </c>
      <c r="J348" s="3" t="str">
        <f aca="false">IF(H348=9,IF(G348=9,"즉시 착수",IF(G348=3,"표준화 병행","선결 과제")),IF(H348=3,IF(G348=1,"보류","2단계 확장"),IF(G348=1,"제외","여력 시 수집")))</f>
        <v>2단계 확장</v>
      </c>
    </row>
    <row r="349" customFormat="false" ht="15" hidden="false" customHeight="false" outlineLevel="0" collapsed="false">
      <c r="A349" s="3" t="n">
        <v>348</v>
      </c>
      <c r="B349" s="3" t="s">
        <v>415</v>
      </c>
      <c r="C349" s="4" t="s">
        <v>416</v>
      </c>
      <c r="D349" s="5" t="s">
        <v>358</v>
      </c>
      <c r="E349" s="4" t="s">
        <v>423</v>
      </c>
      <c r="F349" s="9" t="s">
        <v>429</v>
      </c>
      <c r="G349" s="12" t="n">
        <v>3</v>
      </c>
      <c r="H349" s="10" t="n">
        <v>1</v>
      </c>
      <c r="I349" s="14" t="n">
        <f aca="false">G349+H349</f>
        <v>4</v>
      </c>
      <c r="J349" s="3" t="str">
        <f aca="false">IF(H349=9,IF(G349=9,"즉시 착수",IF(G349=3,"표준화 병행","선결 과제")),IF(H349=3,IF(G349=1,"보류","2단계 확장"),IF(G349=1,"제외","여력 시 수집")))</f>
        <v>여력 시 수집</v>
      </c>
    </row>
    <row r="350" customFormat="false" ht="15" hidden="false" customHeight="false" outlineLevel="0" collapsed="false">
      <c r="A350" s="3" t="n">
        <v>349</v>
      </c>
      <c r="B350" s="3" t="s">
        <v>415</v>
      </c>
      <c r="C350" s="4" t="s">
        <v>416</v>
      </c>
      <c r="D350" s="5" t="s">
        <v>358</v>
      </c>
      <c r="E350" s="4" t="s">
        <v>430</v>
      </c>
      <c r="F350" s="9" t="s">
        <v>431</v>
      </c>
      <c r="G350" s="7" t="n">
        <v>9</v>
      </c>
      <c r="H350" s="12" t="n">
        <v>3</v>
      </c>
      <c r="I350" s="13" t="n">
        <f aca="false">G350+H350</f>
        <v>12</v>
      </c>
      <c r="J350" s="3" t="str">
        <f aca="false">IF(H350=9,IF(G350=9,"즉시 착수",IF(G350=3,"표준화 병행","선결 과제")),IF(H350=3,IF(G350=1,"보류","2단계 확장"),IF(G350=1,"제외","여력 시 수집")))</f>
        <v>2단계 확장</v>
      </c>
    </row>
    <row r="351" customFormat="false" ht="15" hidden="false" customHeight="false" outlineLevel="0" collapsed="false">
      <c r="A351" s="3" t="n">
        <v>350</v>
      </c>
      <c r="B351" s="3" t="s">
        <v>415</v>
      </c>
      <c r="C351" s="4" t="s">
        <v>416</v>
      </c>
      <c r="D351" s="5" t="s">
        <v>358</v>
      </c>
      <c r="E351" s="4" t="s">
        <v>430</v>
      </c>
      <c r="F351" s="9" t="s">
        <v>432</v>
      </c>
      <c r="G351" s="7" t="n">
        <v>9</v>
      </c>
      <c r="H351" s="12" t="n">
        <v>3</v>
      </c>
      <c r="I351" s="13" t="n">
        <f aca="false">G351+H351</f>
        <v>12</v>
      </c>
      <c r="J351" s="3" t="str">
        <f aca="false">IF(H351=9,IF(G351=9,"즉시 착수",IF(G351=3,"표준화 병행","선결 과제")),IF(H351=3,IF(G351=1,"보류","2단계 확장"),IF(G351=1,"제외","여력 시 수집")))</f>
        <v>2단계 확장</v>
      </c>
    </row>
    <row r="352" customFormat="false" ht="15" hidden="false" customHeight="false" outlineLevel="0" collapsed="false">
      <c r="A352" s="3" t="n">
        <v>351</v>
      </c>
      <c r="B352" s="3" t="s">
        <v>415</v>
      </c>
      <c r="C352" s="4" t="s">
        <v>416</v>
      </c>
      <c r="D352" s="5" t="s">
        <v>358</v>
      </c>
      <c r="E352" s="4" t="s">
        <v>430</v>
      </c>
      <c r="F352" s="9" t="s">
        <v>433</v>
      </c>
      <c r="G352" s="7" t="n">
        <v>9</v>
      </c>
      <c r="H352" s="12" t="n">
        <v>3</v>
      </c>
      <c r="I352" s="13" t="n">
        <f aca="false">G352+H352</f>
        <v>12</v>
      </c>
      <c r="J352" s="3" t="str">
        <f aca="false">IF(H352=9,IF(G352=9,"즉시 착수",IF(G352=3,"표준화 병행","선결 과제")),IF(H352=3,IF(G352=1,"보류","2단계 확장"),IF(G352=1,"제외","여력 시 수집")))</f>
        <v>2단계 확장</v>
      </c>
    </row>
    <row r="353" customFormat="false" ht="15" hidden="false" customHeight="false" outlineLevel="0" collapsed="false">
      <c r="A353" s="3" t="n">
        <v>352</v>
      </c>
      <c r="B353" s="3" t="s">
        <v>415</v>
      </c>
      <c r="C353" s="4" t="s">
        <v>416</v>
      </c>
      <c r="D353" s="5" t="s">
        <v>358</v>
      </c>
      <c r="E353" s="4" t="s">
        <v>430</v>
      </c>
      <c r="F353" s="9" t="s">
        <v>434</v>
      </c>
      <c r="G353" s="7" t="n">
        <v>9</v>
      </c>
      <c r="H353" s="12" t="n">
        <v>3</v>
      </c>
      <c r="I353" s="13" t="n">
        <f aca="false">G353+H353</f>
        <v>12</v>
      </c>
      <c r="J353" s="3" t="str">
        <f aca="false">IF(H353=9,IF(G353=9,"즉시 착수",IF(G353=3,"표준화 병행","선결 과제")),IF(H353=3,IF(G353=1,"보류","2단계 확장"),IF(G353=1,"제외","여력 시 수집")))</f>
        <v>2단계 확장</v>
      </c>
    </row>
    <row r="354" customFormat="false" ht="15" hidden="false" customHeight="false" outlineLevel="0" collapsed="false">
      <c r="A354" s="3" t="n">
        <v>353</v>
      </c>
      <c r="B354" s="3" t="s">
        <v>415</v>
      </c>
      <c r="C354" s="4" t="s">
        <v>416</v>
      </c>
      <c r="D354" s="5" t="s">
        <v>358</v>
      </c>
      <c r="E354" s="4" t="s">
        <v>430</v>
      </c>
      <c r="F354" s="9" t="s">
        <v>435</v>
      </c>
      <c r="G354" s="7" t="n">
        <v>9</v>
      </c>
      <c r="H354" s="12" t="n">
        <v>3</v>
      </c>
      <c r="I354" s="13" t="n">
        <f aca="false">G354+H354</f>
        <v>12</v>
      </c>
      <c r="J354" s="3" t="str">
        <f aca="false">IF(H354=9,IF(G354=9,"즉시 착수",IF(G354=3,"표준화 병행","선결 과제")),IF(H354=3,IF(G354=1,"보류","2단계 확장"),IF(G354=1,"제외","여력 시 수집")))</f>
        <v>2단계 확장</v>
      </c>
    </row>
    <row r="355" customFormat="false" ht="15" hidden="false" customHeight="false" outlineLevel="0" collapsed="false">
      <c r="A355" s="3" t="n">
        <v>354</v>
      </c>
      <c r="B355" s="3" t="s">
        <v>415</v>
      </c>
      <c r="C355" s="4" t="s">
        <v>416</v>
      </c>
      <c r="D355" s="5" t="s">
        <v>358</v>
      </c>
      <c r="E355" s="4" t="s">
        <v>430</v>
      </c>
      <c r="F355" s="9" t="s">
        <v>436</v>
      </c>
      <c r="G355" s="7" t="n">
        <v>9</v>
      </c>
      <c r="H355" s="10" t="n">
        <v>1</v>
      </c>
      <c r="I355" s="11" t="n">
        <f aca="false">G355+H355</f>
        <v>10</v>
      </c>
      <c r="J355" s="3" t="str">
        <f aca="false">IF(H355=9,IF(G355=9,"즉시 착수",IF(G355=3,"표준화 병행","선결 과제")),IF(H355=3,IF(G355=1,"보류","2단계 확장"),IF(G355=1,"제외","여력 시 수집")))</f>
        <v>여력 시 수집</v>
      </c>
    </row>
    <row r="356" customFormat="false" ht="15" hidden="false" customHeight="false" outlineLevel="0" collapsed="false">
      <c r="A356" s="3" t="n">
        <v>355</v>
      </c>
      <c r="B356" s="3" t="s">
        <v>415</v>
      </c>
      <c r="C356" s="4" t="s">
        <v>416</v>
      </c>
      <c r="D356" s="5" t="s">
        <v>358</v>
      </c>
      <c r="E356" s="4" t="s">
        <v>437</v>
      </c>
      <c r="F356" s="9" t="s">
        <v>438</v>
      </c>
      <c r="G356" s="7" t="n">
        <v>9</v>
      </c>
      <c r="H356" s="7" t="n">
        <v>9</v>
      </c>
      <c r="I356" s="8" t="n">
        <f aca="false">G356+H356</f>
        <v>18</v>
      </c>
      <c r="J356" s="3" t="str">
        <f aca="false">IF(H356=9,IF(G356=9,"즉시 착수",IF(G356=3,"표준화 병행","선결 과제")),IF(H356=3,IF(G356=1,"보류","2단계 확장"),IF(G356=1,"제외","여력 시 수집")))</f>
        <v>즉시 착수</v>
      </c>
    </row>
    <row r="357" customFormat="false" ht="15" hidden="false" customHeight="false" outlineLevel="0" collapsed="false">
      <c r="A357" s="3" t="n">
        <v>356</v>
      </c>
      <c r="B357" s="3" t="s">
        <v>415</v>
      </c>
      <c r="C357" s="4" t="s">
        <v>416</v>
      </c>
      <c r="D357" s="5" t="s">
        <v>358</v>
      </c>
      <c r="E357" s="4" t="s">
        <v>437</v>
      </c>
      <c r="F357" s="9" t="s">
        <v>439</v>
      </c>
      <c r="G357" s="7" t="n">
        <v>9</v>
      </c>
      <c r="H357" s="7" t="n">
        <v>9</v>
      </c>
      <c r="I357" s="8" t="n">
        <f aca="false">G357+H357</f>
        <v>18</v>
      </c>
      <c r="J357" s="3" t="str">
        <f aca="false">IF(H357=9,IF(G357=9,"즉시 착수",IF(G357=3,"표준화 병행","선결 과제")),IF(H357=3,IF(G357=1,"보류","2단계 확장"),IF(G357=1,"제외","여력 시 수집")))</f>
        <v>즉시 착수</v>
      </c>
    </row>
    <row r="358" customFormat="false" ht="15" hidden="false" customHeight="false" outlineLevel="0" collapsed="false">
      <c r="A358" s="3" t="n">
        <v>357</v>
      </c>
      <c r="B358" s="3" t="s">
        <v>415</v>
      </c>
      <c r="C358" s="4" t="s">
        <v>416</v>
      </c>
      <c r="D358" s="5" t="s">
        <v>358</v>
      </c>
      <c r="E358" s="4" t="s">
        <v>437</v>
      </c>
      <c r="F358" s="9" t="s">
        <v>440</v>
      </c>
      <c r="G358" s="7" t="n">
        <v>9</v>
      </c>
      <c r="H358" s="7" t="n">
        <v>9</v>
      </c>
      <c r="I358" s="8" t="n">
        <f aca="false">G358+H358</f>
        <v>18</v>
      </c>
      <c r="J358" s="3" t="str">
        <f aca="false">IF(H358=9,IF(G358=9,"즉시 착수",IF(G358=3,"표준화 병행","선결 과제")),IF(H358=3,IF(G358=1,"보류","2단계 확장"),IF(G358=1,"제외","여력 시 수집")))</f>
        <v>즉시 착수</v>
      </c>
    </row>
    <row r="359" customFormat="false" ht="15" hidden="false" customHeight="false" outlineLevel="0" collapsed="false">
      <c r="A359" s="3" t="n">
        <v>358</v>
      </c>
      <c r="B359" s="3" t="s">
        <v>415</v>
      </c>
      <c r="C359" s="4" t="s">
        <v>416</v>
      </c>
      <c r="D359" s="5" t="s">
        <v>358</v>
      </c>
      <c r="E359" s="4" t="s">
        <v>437</v>
      </c>
      <c r="F359" s="9" t="s">
        <v>441</v>
      </c>
      <c r="G359" s="7" t="n">
        <v>9</v>
      </c>
      <c r="H359" s="7" t="n">
        <v>9</v>
      </c>
      <c r="I359" s="8" t="n">
        <f aca="false">G359+H359</f>
        <v>18</v>
      </c>
      <c r="J359" s="3" t="str">
        <f aca="false">IF(H359=9,IF(G359=9,"즉시 착수",IF(G359=3,"표준화 병행","선결 과제")),IF(H359=3,IF(G359=1,"보류","2단계 확장"),IF(G359=1,"제외","여력 시 수집")))</f>
        <v>즉시 착수</v>
      </c>
    </row>
    <row r="360" customFormat="false" ht="15" hidden="false" customHeight="false" outlineLevel="0" collapsed="false">
      <c r="A360" s="3" t="n">
        <v>359</v>
      </c>
      <c r="B360" s="3" t="s">
        <v>415</v>
      </c>
      <c r="C360" s="4" t="s">
        <v>416</v>
      </c>
      <c r="D360" s="5" t="s">
        <v>358</v>
      </c>
      <c r="E360" s="4" t="s">
        <v>437</v>
      </c>
      <c r="F360" s="9" t="s">
        <v>442</v>
      </c>
      <c r="G360" s="7" t="n">
        <v>9</v>
      </c>
      <c r="H360" s="7" t="n">
        <v>9</v>
      </c>
      <c r="I360" s="8" t="n">
        <f aca="false">G360+H360</f>
        <v>18</v>
      </c>
      <c r="J360" s="3" t="str">
        <f aca="false">IF(H360=9,IF(G360=9,"즉시 착수",IF(G360=3,"표준화 병행","선결 과제")),IF(H360=3,IF(G360=1,"보류","2단계 확장"),IF(G360=1,"제외","여력 시 수집")))</f>
        <v>즉시 착수</v>
      </c>
    </row>
    <row r="361" customFormat="false" ht="15" hidden="false" customHeight="false" outlineLevel="0" collapsed="false">
      <c r="A361" s="3" t="n">
        <v>360</v>
      </c>
      <c r="B361" s="3" t="s">
        <v>415</v>
      </c>
      <c r="C361" s="4" t="s">
        <v>416</v>
      </c>
      <c r="D361" s="5" t="s">
        <v>358</v>
      </c>
      <c r="E361" s="4" t="s">
        <v>437</v>
      </c>
      <c r="F361" s="9" t="s">
        <v>443</v>
      </c>
      <c r="G361" s="7" t="n">
        <v>9</v>
      </c>
      <c r="H361" s="7" t="n">
        <v>9</v>
      </c>
      <c r="I361" s="8" t="n">
        <f aca="false">G361+H361</f>
        <v>18</v>
      </c>
      <c r="J361" s="3" t="str">
        <f aca="false">IF(H361=9,IF(G361=9,"즉시 착수",IF(G361=3,"표준화 병행","선결 과제")),IF(H361=3,IF(G361=1,"보류","2단계 확장"),IF(G361=1,"제외","여력 시 수집")))</f>
        <v>즉시 착수</v>
      </c>
    </row>
    <row r="362" customFormat="false" ht="15" hidden="false" customHeight="false" outlineLevel="0" collapsed="false">
      <c r="A362" s="3" t="n">
        <v>361</v>
      </c>
      <c r="B362" s="3" t="s">
        <v>415</v>
      </c>
      <c r="C362" s="4" t="s">
        <v>416</v>
      </c>
      <c r="D362" s="5" t="s">
        <v>358</v>
      </c>
      <c r="E362" s="4" t="s">
        <v>444</v>
      </c>
      <c r="F362" s="9" t="s">
        <v>445</v>
      </c>
      <c r="G362" s="7" t="n">
        <v>9</v>
      </c>
      <c r="H362" s="7" t="n">
        <v>9</v>
      </c>
      <c r="I362" s="8" t="n">
        <f aca="false">G362+H362</f>
        <v>18</v>
      </c>
      <c r="J362" s="3" t="str">
        <f aca="false">IF(H362=9,IF(G362=9,"즉시 착수",IF(G362=3,"표준화 병행","선결 과제")),IF(H362=3,IF(G362=1,"보류","2단계 확장"),IF(G362=1,"제외","여력 시 수집")))</f>
        <v>즉시 착수</v>
      </c>
    </row>
    <row r="363" customFormat="false" ht="15" hidden="false" customHeight="false" outlineLevel="0" collapsed="false">
      <c r="A363" s="3" t="n">
        <v>362</v>
      </c>
      <c r="B363" s="3" t="s">
        <v>415</v>
      </c>
      <c r="C363" s="4" t="s">
        <v>416</v>
      </c>
      <c r="D363" s="5" t="s">
        <v>358</v>
      </c>
      <c r="E363" s="4" t="s">
        <v>444</v>
      </c>
      <c r="F363" s="9" t="s">
        <v>446</v>
      </c>
      <c r="G363" s="7" t="n">
        <v>9</v>
      </c>
      <c r="H363" s="7" t="n">
        <v>9</v>
      </c>
      <c r="I363" s="8" t="n">
        <f aca="false">G363+H363</f>
        <v>18</v>
      </c>
      <c r="J363" s="3" t="str">
        <f aca="false">IF(H363=9,IF(G363=9,"즉시 착수",IF(G363=3,"표준화 병행","선결 과제")),IF(H363=3,IF(G363=1,"보류","2단계 확장"),IF(G363=1,"제외","여력 시 수집")))</f>
        <v>즉시 착수</v>
      </c>
    </row>
    <row r="364" customFormat="false" ht="15" hidden="false" customHeight="false" outlineLevel="0" collapsed="false">
      <c r="A364" s="3" t="n">
        <v>363</v>
      </c>
      <c r="B364" s="3" t="s">
        <v>415</v>
      </c>
      <c r="C364" s="4" t="s">
        <v>416</v>
      </c>
      <c r="D364" s="5" t="s">
        <v>358</v>
      </c>
      <c r="E364" s="4" t="s">
        <v>444</v>
      </c>
      <c r="F364" s="6" t="s">
        <v>447</v>
      </c>
      <c r="G364" s="7" t="n">
        <v>9</v>
      </c>
      <c r="H364" s="7" t="n">
        <v>9</v>
      </c>
      <c r="I364" s="8" t="n">
        <f aca="false">G364+H364</f>
        <v>18</v>
      </c>
      <c r="J364" s="3" t="str">
        <f aca="false">IF(H364=9,IF(G364=9,"즉시 착수",IF(G364=3,"표준화 병행","선결 과제")),IF(H364=3,IF(G364=1,"보류","2단계 확장"),IF(G364=1,"제외","여력 시 수집")))</f>
        <v>즉시 착수</v>
      </c>
    </row>
    <row r="365" customFormat="false" ht="15" hidden="false" customHeight="false" outlineLevel="0" collapsed="false">
      <c r="A365" s="3" t="n">
        <v>364</v>
      </c>
      <c r="B365" s="3" t="s">
        <v>415</v>
      </c>
      <c r="C365" s="4" t="s">
        <v>416</v>
      </c>
      <c r="D365" s="5" t="s">
        <v>358</v>
      </c>
      <c r="E365" s="4" t="s">
        <v>444</v>
      </c>
      <c r="F365" s="9" t="s">
        <v>448</v>
      </c>
      <c r="G365" s="12" t="n">
        <v>3</v>
      </c>
      <c r="H365" s="12" t="n">
        <v>3</v>
      </c>
      <c r="I365" s="15" t="n">
        <f aca="false">G365+H365</f>
        <v>6</v>
      </c>
      <c r="J365" s="3" t="str">
        <f aca="false">IF(H365=9,IF(G365=9,"즉시 착수",IF(G365=3,"표준화 병행","선결 과제")),IF(H365=3,IF(G365=1,"보류","2단계 확장"),IF(G365=1,"제외","여력 시 수집")))</f>
        <v>2단계 확장</v>
      </c>
    </row>
    <row r="366" customFormat="false" ht="15" hidden="false" customHeight="false" outlineLevel="0" collapsed="false">
      <c r="A366" s="3" t="n">
        <v>365</v>
      </c>
      <c r="B366" s="3" t="s">
        <v>415</v>
      </c>
      <c r="C366" s="4" t="s">
        <v>416</v>
      </c>
      <c r="D366" s="5" t="s">
        <v>358</v>
      </c>
      <c r="E366" s="4" t="s">
        <v>444</v>
      </c>
      <c r="F366" s="9" t="s">
        <v>449</v>
      </c>
      <c r="G366" s="7" t="n">
        <v>9</v>
      </c>
      <c r="H366" s="7" t="n">
        <v>9</v>
      </c>
      <c r="I366" s="8" t="n">
        <f aca="false">G366+H366</f>
        <v>18</v>
      </c>
      <c r="J366" s="3" t="str">
        <f aca="false">IF(H366=9,IF(G366=9,"즉시 착수",IF(G366=3,"표준화 병행","선결 과제")),IF(H366=3,IF(G366=1,"보류","2단계 확장"),IF(G366=1,"제외","여력 시 수집")))</f>
        <v>즉시 착수</v>
      </c>
    </row>
    <row r="367" customFormat="false" ht="15" hidden="false" customHeight="false" outlineLevel="0" collapsed="false">
      <c r="A367" s="3" t="n">
        <v>366</v>
      </c>
      <c r="B367" s="3" t="s">
        <v>415</v>
      </c>
      <c r="C367" s="4" t="s">
        <v>416</v>
      </c>
      <c r="D367" s="5" t="s">
        <v>358</v>
      </c>
      <c r="E367" s="4" t="s">
        <v>444</v>
      </c>
      <c r="F367" s="9" t="s">
        <v>354</v>
      </c>
      <c r="G367" s="7" t="n">
        <v>9</v>
      </c>
      <c r="H367" s="7" t="n">
        <v>9</v>
      </c>
      <c r="I367" s="8" t="n">
        <f aca="false">G367+H367</f>
        <v>18</v>
      </c>
      <c r="J367" s="3" t="str">
        <f aca="false">IF(H367=9,IF(G367=9,"즉시 착수",IF(G367=3,"표준화 병행","선결 과제")),IF(H367=3,IF(G367=1,"보류","2단계 확장"),IF(G367=1,"제외","여력 시 수집")))</f>
        <v>즉시 착수</v>
      </c>
    </row>
    <row r="368" customFormat="false" ht="15" hidden="false" customHeight="false" outlineLevel="0" collapsed="false">
      <c r="A368" s="3" t="n">
        <v>367</v>
      </c>
      <c r="B368" s="3" t="s">
        <v>415</v>
      </c>
      <c r="C368" s="4" t="s">
        <v>416</v>
      </c>
      <c r="D368" s="5" t="s">
        <v>358</v>
      </c>
      <c r="E368" s="4" t="s">
        <v>450</v>
      </c>
      <c r="F368" s="6" t="s">
        <v>451</v>
      </c>
      <c r="G368" s="12" t="n">
        <v>3</v>
      </c>
      <c r="H368" s="12" t="n">
        <v>3</v>
      </c>
      <c r="I368" s="15" t="n">
        <f aca="false">G368+H368</f>
        <v>6</v>
      </c>
      <c r="J368" s="3" t="str">
        <f aca="false">IF(H368=9,IF(G368=9,"즉시 착수",IF(G368=3,"표준화 병행","선결 과제")),IF(H368=3,IF(G368=1,"보류","2단계 확장"),IF(G368=1,"제외","여력 시 수집")))</f>
        <v>2단계 확장</v>
      </c>
    </row>
    <row r="369" customFormat="false" ht="15" hidden="false" customHeight="false" outlineLevel="0" collapsed="false">
      <c r="A369" s="3" t="n">
        <v>368</v>
      </c>
      <c r="B369" s="3" t="s">
        <v>415</v>
      </c>
      <c r="C369" s="4" t="s">
        <v>416</v>
      </c>
      <c r="D369" s="5" t="s">
        <v>358</v>
      </c>
      <c r="E369" s="4" t="s">
        <v>450</v>
      </c>
      <c r="F369" s="9" t="s">
        <v>452</v>
      </c>
      <c r="G369" s="12" t="n">
        <v>3</v>
      </c>
      <c r="H369" s="12" t="n">
        <v>3</v>
      </c>
      <c r="I369" s="15" t="n">
        <f aca="false">G369+H369</f>
        <v>6</v>
      </c>
      <c r="J369" s="3" t="str">
        <f aca="false">IF(H369=9,IF(G369=9,"즉시 착수",IF(G369=3,"표준화 병행","선결 과제")),IF(H369=3,IF(G369=1,"보류","2단계 확장"),IF(G369=1,"제외","여력 시 수집")))</f>
        <v>2단계 확장</v>
      </c>
    </row>
    <row r="370" customFormat="false" ht="15" hidden="false" customHeight="false" outlineLevel="0" collapsed="false">
      <c r="A370" s="3" t="n">
        <v>369</v>
      </c>
      <c r="B370" s="3" t="s">
        <v>415</v>
      </c>
      <c r="C370" s="4" t="s">
        <v>416</v>
      </c>
      <c r="D370" s="5" t="s">
        <v>358</v>
      </c>
      <c r="E370" s="4" t="s">
        <v>450</v>
      </c>
      <c r="F370" s="9" t="s">
        <v>453</v>
      </c>
      <c r="G370" s="12" t="n">
        <v>3</v>
      </c>
      <c r="H370" s="12" t="n">
        <v>3</v>
      </c>
      <c r="I370" s="15" t="n">
        <f aca="false">G370+H370</f>
        <v>6</v>
      </c>
      <c r="J370" s="3" t="str">
        <f aca="false">IF(H370=9,IF(G370=9,"즉시 착수",IF(G370=3,"표준화 병행","선결 과제")),IF(H370=3,IF(G370=1,"보류","2단계 확장"),IF(G370=1,"제외","여력 시 수집")))</f>
        <v>2단계 확장</v>
      </c>
    </row>
    <row r="371" customFormat="false" ht="15" hidden="false" customHeight="false" outlineLevel="0" collapsed="false">
      <c r="A371" s="3" t="n">
        <v>370</v>
      </c>
      <c r="B371" s="3" t="s">
        <v>415</v>
      </c>
      <c r="C371" s="4" t="s">
        <v>416</v>
      </c>
      <c r="D371" s="5" t="s">
        <v>358</v>
      </c>
      <c r="E371" s="4" t="s">
        <v>450</v>
      </c>
      <c r="F371" s="9" t="s">
        <v>454</v>
      </c>
      <c r="G371" s="12" t="n">
        <v>3</v>
      </c>
      <c r="H371" s="12" t="n">
        <v>3</v>
      </c>
      <c r="I371" s="15" t="n">
        <f aca="false">G371+H371</f>
        <v>6</v>
      </c>
      <c r="J371" s="3" t="str">
        <f aca="false">IF(H371=9,IF(G371=9,"즉시 착수",IF(G371=3,"표준화 병행","선결 과제")),IF(H371=3,IF(G371=1,"보류","2단계 확장"),IF(G371=1,"제외","여력 시 수집")))</f>
        <v>2단계 확장</v>
      </c>
    </row>
    <row r="372" customFormat="false" ht="15" hidden="false" customHeight="false" outlineLevel="0" collapsed="false">
      <c r="A372" s="3" t="n">
        <v>371</v>
      </c>
      <c r="B372" s="3" t="s">
        <v>415</v>
      </c>
      <c r="C372" s="4" t="s">
        <v>416</v>
      </c>
      <c r="D372" s="5" t="s">
        <v>358</v>
      </c>
      <c r="E372" s="4" t="s">
        <v>450</v>
      </c>
      <c r="F372" s="9" t="s">
        <v>455</v>
      </c>
      <c r="G372" s="12" t="n">
        <v>3</v>
      </c>
      <c r="H372" s="12" t="n">
        <v>3</v>
      </c>
      <c r="I372" s="15" t="n">
        <f aca="false">G372+H372</f>
        <v>6</v>
      </c>
      <c r="J372" s="3" t="str">
        <f aca="false">IF(H372=9,IF(G372=9,"즉시 착수",IF(G372=3,"표준화 병행","선결 과제")),IF(H372=3,IF(G372=1,"보류","2단계 확장"),IF(G372=1,"제외","여력 시 수집")))</f>
        <v>2단계 확장</v>
      </c>
    </row>
    <row r="373" customFormat="false" ht="15" hidden="false" customHeight="false" outlineLevel="0" collapsed="false">
      <c r="A373" s="3" t="n">
        <v>372</v>
      </c>
      <c r="B373" s="3" t="s">
        <v>415</v>
      </c>
      <c r="C373" s="4" t="s">
        <v>416</v>
      </c>
      <c r="D373" s="5" t="s">
        <v>358</v>
      </c>
      <c r="E373" s="4" t="s">
        <v>450</v>
      </c>
      <c r="F373" s="9" t="s">
        <v>456</v>
      </c>
      <c r="G373" s="12" t="n">
        <v>3</v>
      </c>
      <c r="H373" s="12" t="n">
        <v>3</v>
      </c>
      <c r="I373" s="15" t="n">
        <f aca="false">G373+H373</f>
        <v>6</v>
      </c>
      <c r="J373" s="3" t="str">
        <f aca="false">IF(H373=9,IF(G373=9,"즉시 착수",IF(G373=3,"표준화 병행","선결 과제")),IF(H373=3,IF(G373=1,"보류","2단계 확장"),IF(G373=1,"제외","여력 시 수집")))</f>
        <v>2단계 확장</v>
      </c>
    </row>
    <row r="374" customFormat="false" ht="15" hidden="false" customHeight="false" outlineLevel="0" collapsed="false">
      <c r="A374" s="3" t="n">
        <v>373</v>
      </c>
      <c r="B374" s="3" t="s">
        <v>415</v>
      </c>
      <c r="C374" s="4" t="s">
        <v>416</v>
      </c>
      <c r="D374" s="5" t="s">
        <v>358</v>
      </c>
      <c r="E374" s="4" t="s">
        <v>457</v>
      </c>
      <c r="F374" s="9" t="s">
        <v>458</v>
      </c>
      <c r="G374" s="7" t="n">
        <v>9</v>
      </c>
      <c r="H374" s="12" t="n">
        <v>3</v>
      </c>
      <c r="I374" s="13" t="n">
        <f aca="false">G374+H374</f>
        <v>12</v>
      </c>
      <c r="J374" s="3" t="str">
        <f aca="false">IF(H374=9,IF(G374=9,"즉시 착수",IF(G374=3,"표준화 병행","선결 과제")),IF(H374=3,IF(G374=1,"보류","2단계 확장"),IF(G374=1,"제외","여력 시 수집")))</f>
        <v>2단계 확장</v>
      </c>
    </row>
    <row r="375" customFormat="false" ht="15" hidden="false" customHeight="false" outlineLevel="0" collapsed="false">
      <c r="A375" s="3" t="n">
        <v>374</v>
      </c>
      <c r="B375" s="3" t="s">
        <v>415</v>
      </c>
      <c r="C375" s="4" t="s">
        <v>416</v>
      </c>
      <c r="D375" s="5" t="s">
        <v>358</v>
      </c>
      <c r="E375" s="4" t="s">
        <v>457</v>
      </c>
      <c r="F375" s="9" t="s">
        <v>459</v>
      </c>
      <c r="G375" s="7" t="n">
        <v>9</v>
      </c>
      <c r="H375" s="7" t="n">
        <v>9</v>
      </c>
      <c r="I375" s="8" t="n">
        <f aca="false">G375+H375</f>
        <v>18</v>
      </c>
      <c r="J375" s="3" t="str">
        <f aca="false">IF(H375=9,IF(G375=9,"즉시 착수",IF(G375=3,"표준화 병행","선결 과제")),IF(H375=3,IF(G375=1,"보류","2단계 확장"),IF(G375=1,"제외","여력 시 수집")))</f>
        <v>즉시 착수</v>
      </c>
    </row>
    <row r="376" customFormat="false" ht="15" hidden="false" customHeight="false" outlineLevel="0" collapsed="false">
      <c r="A376" s="3" t="n">
        <v>375</v>
      </c>
      <c r="B376" s="3" t="s">
        <v>415</v>
      </c>
      <c r="C376" s="4" t="s">
        <v>416</v>
      </c>
      <c r="D376" s="5" t="s">
        <v>358</v>
      </c>
      <c r="E376" s="4" t="s">
        <v>457</v>
      </c>
      <c r="F376" s="9" t="s">
        <v>460</v>
      </c>
      <c r="G376" s="7" t="n">
        <v>9</v>
      </c>
      <c r="H376" s="7" t="n">
        <v>9</v>
      </c>
      <c r="I376" s="8" t="n">
        <f aca="false">G376+H376</f>
        <v>18</v>
      </c>
      <c r="J376" s="3" t="str">
        <f aca="false">IF(H376=9,IF(G376=9,"즉시 착수",IF(G376=3,"표준화 병행","선결 과제")),IF(H376=3,IF(G376=1,"보류","2단계 확장"),IF(G376=1,"제외","여력 시 수집")))</f>
        <v>즉시 착수</v>
      </c>
    </row>
    <row r="377" customFormat="false" ht="15" hidden="false" customHeight="false" outlineLevel="0" collapsed="false">
      <c r="A377" s="3" t="n">
        <v>376</v>
      </c>
      <c r="B377" s="3" t="s">
        <v>415</v>
      </c>
      <c r="C377" s="4" t="s">
        <v>416</v>
      </c>
      <c r="D377" s="5" t="s">
        <v>358</v>
      </c>
      <c r="E377" s="4" t="s">
        <v>457</v>
      </c>
      <c r="F377" s="9" t="s">
        <v>461</v>
      </c>
      <c r="G377" s="7" t="n">
        <v>9</v>
      </c>
      <c r="H377" s="12" t="n">
        <v>3</v>
      </c>
      <c r="I377" s="13" t="n">
        <f aca="false">G377+H377</f>
        <v>12</v>
      </c>
      <c r="J377" s="3" t="str">
        <f aca="false">IF(H377=9,IF(G377=9,"즉시 착수",IF(G377=3,"표준화 병행","선결 과제")),IF(H377=3,IF(G377=1,"보류","2단계 확장"),IF(G377=1,"제외","여력 시 수집")))</f>
        <v>2단계 확장</v>
      </c>
    </row>
    <row r="378" customFormat="false" ht="15" hidden="false" customHeight="false" outlineLevel="0" collapsed="false">
      <c r="A378" s="3" t="n">
        <v>377</v>
      </c>
      <c r="B378" s="3" t="s">
        <v>415</v>
      </c>
      <c r="C378" s="4" t="s">
        <v>416</v>
      </c>
      <c r="D378" s="5" t="s">
        <v>358</v>
      </c>
      <c r="E378" s="4" t="s">
        <v>457</v>
      </c>
      <c r="F378" s="9" t="s">
        <v>462</v>
      </c>
      <c r="G378" s="7" t="n">
        <v>9</v>
      </c>
      <c r="H378" s="12" t="n">
        <v>3</v>
      </c>
      <c r="I378" s="13" t="n">
        <f aca="false">G378+H378</f>
        <v>12</v>
      </c>
      <c r="J378" s="3" t="str">
        <f aca="false">IF(H378=9,IF(G378=9,"즉시 착수",IF(G378=3,"표준화 병행","선결 과제")),IF(H378=3,IF(G378=1,"보류","2단계 확장"),IF(G378=1,"제외","여력 시 수집")))</f>
        <v>2단계 확장</v>
      </c>
    </row>
    <row r="379" customFormat="false" ht="15" hidden="false" customHeight="false" outlineLevel="0" collapsed="false">
      <c r="A379" s="3" t="n">
        <v>378</v>
      </c>
      <c r="B379" s="3" t="s">
        <v>415</v>
      </c>
      <c r="C379" s="4" t="s">
        <v>416</v>
      </c>
      <c r="D379" s="5" t="s">
        <v>358</v>
      </c>
      <c r="E379" s="4" t="s">
        <v>457</v>
      </c>
      <c r="F379" s="9" t="s">
        <v>463</v>
      </c>
      <c r="G379" s="7" t="n">
        <v>9</v>
      </c>
      <c r="H379" s="12" t="n">
        <v>3</v>
      </c>
      <c r="I379" s="13" t="n">
        <f aca="false">G379+H379</f>
        <v>12</v>
      </c>
      <c r="J379" s="3" t="str">
        <f aca="false">IF(H379=9,IF(G379=9,"즉시 착수",IF(G379=3,"표준화 병행","선결 과제")),IF(H379=3,IF(G379=1,"보류","2단계 확장"),IF(G379=1,"제외","여력 시 수집")))</f>
        <v>2단계 확장</v>
      </c>
    </row>
    <row r="380" customFormat="false" ht="15" hidden="false" customHeight="false" outlineLevel="0" collapsed="false">
      <c r="A380" s="3" t="n">
        <v>379</v>
      </c>
      <c r="B380" s="3" t="s">
        <v>415</v>
      </c>
      <c r="C380" s="4" t="s">
        <v>416</v>
      </c>
      <c r="D380" s="5" t="s">
        <v>358</v>
      </c>
      <c r="E380" s="4" t="s">
        <v>464</v>
      </c>
      <c r="F380" s="6" t="s">
        <v>465</v>
      </c>
      <c r="G380" s="7" t="n">
        <v>9</v>
      </c>
      <c r="H380" s="7" t="n">
        <v>9</v>
      </c>
      <c r="I380" s="8" t="n">
        <f aca="false">G380+H380</f>
        <v>18</v>
      </c>
      <c r="J380" s="3" t="str">
        <f aca="false">IF(H380=9,IF(G380=9,"즉시 착수",IF(G380=3,"표준화 병행","선결 과제")),IF(H380=3,IF(G380=1,"보류","2단계 확장"),IF(G380=1,"제외","여력 시 수집")))</f>
        <v>즉시 착수</v>
      </c>
    </row>
    <row r="381" customFormat="false" ht="15" hidden="false" customHeight="false" outlineLevel="0" collapsed="false">
      <c r="A381" s="3" t="n">
        <v>380</v>
      </c>
      <c r="B381" s="3" t="s">
        <v>415</v>
      </c>
      <c r="C381" s="4" t="s">
        <v>416</v>
      </c>
      <c r="D381" s="5" t="s">
        <v>358</v>
      </c>
      <c r="E381" s="4" t="s">
        <v>464</v>
      </c>
      <c r="F381" s="9" t="s">
        <v>466</v>
      </c>
      <c r="G381" s="7" t="n">
        <v>9</v>
      </c>
      <c r="H381" s="7" t="n">
        <v>9</v>
      </c>
      <c r="I381" s="8" t="n">
        <f aca="false">G381+H381</f>
        <v>18</v>
      </c>
      <c r="J381" s="3" t="str">
        <f aca="false">IF(H381=9,IF(G381=9,"즉시 착수",IF(G381=3,"표준화 병행","선결 과제")),IF(H381=3,IF(G381=1,"보류","2단계 확장"),IF(G381=1,"제외","여력 시 수집")))</f>
        <v>즉시 착수</v>
      </c>
    </row>
    <row r="382" customFormat="false" ht="15" hidden="false" customHeight="false" outlineLevel="0" collapsed="false">
      <c r="A382" s="3" t="n">
        <v>381</v>
      </c>
      <c r="B382" s="3" t="s">
        <v>415</v>
      </c>
      <c r="C382" s="4" t="s">
        <v>416</v>
      </c>
      <c r="D382" s="5" t="s">
        <v>358</v>
      </c>
      <c r="E382" s="4" t="s">
        <v>464</v>
      </c>
      <c r="F382" s="9" t="s">
        <v>467</v>
      </c>
      <c r="G382" s="7" t="n">
        <v>9</v>
      </c>
      <c r="H382" s="7" t="n">
        <v>9</v>
      </c>
      <c r="I382" s="8" t="n">
        <f aca="false">G382+H382</f>
        <v>18</v>
      </c>
      <c r="J382" s="3" t="str">
        <f aca="false">IF(H382=9,IF(G382=9,"즉시 착수",IF(G382=3,"표준화 병행","선결 과제")),IF(H382=3,IF(G382=1,"보류","2단계 확장"),IF(G382=1,"제외","여력 시 수집")))</f>
        <v>즉시 착수</v>
      </c>
    </row>
    <row r="383" customFormat="false" ht="15" hidden="false" customHeight="false" outlineLevel="0" collapsed="false">
      <c r="A383" s="3" t="n">
        <v>382</v>
      </c>
      <c r="B383" s="3" t="s">
        <v>415</v>
      </c>
      <c r="C383" s="4" t="s">
        <v>416</v>
      </c>
      <c r="D383" s="5" t="s">
        <v>358</v>
      </c>
      <c r="E383" s="4" t="s">
        <v>464</v>
      </c>
      <c r="F383" s="9" t="s">
        <v>468</v>
      </c>
      <c r="G383" s="7" t="n">
        <v>9</v>
      </c>
      <c r="H383" s="7" t="n">
        <v>9</v>
      </c>
      <c r="I383" s="8" t="n">
        <f aca="false">G383+H383</f>
        <v>18</v>
      </c>
      <c r="J383" s="3" t="str">
        <f aca="false">IF(H383=9,IF(G383=9,"즉시 착수",IF(G383=3,"표준화 병행","선결 과제")),IF(H383=3,IF(G383=1,"보류","2단계 확장"),IF(G383=1,"제외","여력 시 수집")))</f>
        <v>즉시 착수</v>
      </c>
    </row>
    <row r="384" customFormat="false" ht="15" hidden="false" customHeight="false" outlineLevel="0" collapsed="false">
      <c r="A384" s="3" t="n">
        <v>383</v>
      </c>
      <c r="B384" s="3" t="s">
        <v>415</v>
      </c>
      <c r="C384" s="4" t="s">
        <v>416</v>
      </c>
      <c r="D384" s="5" t="s">
        <v>358</v>
      </c>
      <c r="E384" s="4" t="s">
        <v>464</v>
      </c>
      <c r="F384" s="9" t="s">
        <v>469</v>
      </c>
      <c r="G384" s="7" t="n">
        <v>9</v>
      </c>
      <c r="H384" s="12" t="n">
        <v>3</v>
      </c>
      <c r="I384" s="13" t="n">
        <f aca="false">G384+H384</f>
        <v>12</v>
      </c>
      <c r="J384" s="3" t="str">
        <f aca="false">IF(H384=9,IF(G384=9,"즉시 착수",IF(G384=3,"표준화 병행","선결 과제")),IF(H384=3,IF(G384=1,"보류","2단계 확장"),IF(G384=1,"제외","여력 시 수집")))</f>
        <v>2단계 확장</v>
      </c>
    </row>
    <row r="385" customFormat="false" ht="15" hidden="false" customHeight="false" outlineLevel="0" collapsed="false">
      <c r="A385" s="3" t="n">
        <v>384</v>
      </c>
      <c r="B385" s="3" t="s">
        <v>415</v>
      </c>
      <c r="C385" s="4" t="s">
        <v>416</v>
      </c>
      <c r="D385" s="5" t="s">
        <v>358</v>
      </c>
      <c r="E385" s="4" t="s">
        <v>464</v>
      </c>
      <c r="F385" s="9" t="s">
        <v>470</v>
      </c>
      <c r="G385" s="7" t="n">
        <v>9</v>
      </c>
      <c r="H385" s="7" t="n">
        <v>9</v>
      </c>
      <c r="I385" s="8" t="n">
        <f aca="false">G385+H385</f>
        <v>18</v>
      </c>
      <c r="J385" s="3" t="str">
        <f aca="false">IF(H385=9,IF(G385=9,"즉시 착수",IF(G385=3,"표준화 병행","선결 과제")),IF(H385=3,IF(G385=1,"보류","2단계 확장"),IF(G385=1,"제외","여력 시 수집")))</f>
        <v>즉시 착수</v>
      </c>
    </row>
    <row r="386" customFormat="false" ht="15" hidden="false" customHeight="false" outlineLevel="0" collapsed="false">
      <c r="A386" s="3" t="n">
        <v>385</v>
      </c>
      <c r="B386" s="3" t="s">
        <v>471</v>
      </c>
      <c r="C386" s="4" t="s">
        <v>472</v>
      </c>
      <c r="D386" s="5" t="s">
        <v>358</v>
      </c>
      <c r="E386" s="4" t="s">
        <v>473</v>
      </c>
      <c r="F386" s="9" t="s">
        <v>474</v>
      </c>
      <c r="G386" s="7" t="n">
        <v>9</v>
      </c>
      <c r="H386" s="7" t="n">
        <v>9</v>
      </c>
      <c r="I386" s="8" t="n">
        <f aca="false">G386+H386</f>
        <v>18</v>
      </c>
      <c r="J386" s="3" t="str">
        <f aca="false">IF(H386=9,IF(G386=9,"즉시 착수",IF(G386=3,"표준화 병행","선결 과제")),IF(H386=3,IF(G386=1,"보류","2단계 확장"),IF(G386=1,"제외","여력 시 수집")))</f>
        <v>즉시 착수</v>
      </c>
    </row>
    <row r="387" customFormat="false" ht="15" hidden="false" customHeight="false" outlineLevel="0" collapsed="false">
      <c r="A387" s="3" t="n">
        <v>386</v>
      </c>
      <c r="B387" s="3" t="s">
        <v>471</v>
      </c>
      <c r="C387" s="4" t="s">
        <v>472</v>
      </c>
      <c r="D387" s="5" t="s">
        <v>358</v>
      </c>
      <c r="E387" s="4" t="s">
        <v>473</v>
      </c>
      <c r="F387" s="9" t="s">
        <v>475</v>
      </c>
      <c r="G387" s="7" t="n">
        <v>9</v>
      </c>
      <c r="H387" s="7" t="n">
        <v>9</v>
      </c>
      <c r="I387" s="8" t="n">
        <f aca="false">G387+H387</f>
        <v>18</v>
      </c>
      <c r="J387" s="3" t="str">
        <f aca="false">IF(H387=9,IF(G387=9,"즉시 착수",IF(G387=3,"표준화 병행","선결 과제")),IF(H387=3,IF(G387=1,"보류","2단계 확장"),IF(G387=1,"제외","여력 시 수집")))</f>
        <v>즉시 착수</v>
      </c>
    </row>
    <row r="388" customFormat="false" ht="15" hidden="false" customHeight="false" outlineLevel="0" collapsed="false">
      <c r="A388" s="3" t="n">
        <v>387</v>
      </c>
      <c r="B388" s="3" t="s">
        <v>471</v>
      </c>
      <c r="C388" s="4" t="s">
        <v>472</v>
      </c>
      <c r="D388" s="5" t="s">
        <v>358</v>
      </c>
      <c r="E388" s="4" t="s">
        <v>473</v>
      </c>
      <c r="F388" s="9" t="s">
        <v>476</v>
      </c>
      <c r="G388" s="7" t="n">
        <v>9</v>
      </c>
      <c r="H388" s="7" t="n">
        <v>9</v>
      </c>
      <c r="I388" s="8" t="n">
        <f aca="false">G388+H388</f>
        <v>18</v>
      </c>
      <c r="J388" s="3" t="str">
        <f aca="false">IF(H388=9,IF(G388=9,"즉시 착수",IF(G388=3,"표준화 병행","선결 과제")),IF(H388=3,IF(G388=1,"보류","2단계 확장"),IF(G388=1,"제외","여력 시 수집")))</f>
        <v>즉시 착수</v>
      </c>
    </row>
    <row r="389" customFormat="false" ht="15" hidden="false" customHeight="false" outlineLevel="0" collapsed="false">
      <c r="A389" s="3" t="n">
        <v>388</v>
      </c>
      <c r="B389" s="3" t="s">
        <v>471</v>
      </c>
      <c r="C389" s="4" t="s">
        <v>472</v>
      </c>
      <c r="D389" s="5" t="s">
        <v>358</v>
      </c>
      <c r="E389" s="4" t="s">
        <v>473</v>
      </c>
      <c r="F389" s="9" t="s">
        <v>477</v>
      </c>
      <c r="G389" s="10" t="n">
        <v>1</v>
      </c>
      <c r="H389" s="7" t="n">
        <v>9</v>
      </c>
      <c r="I389" s="11" t="n">
        <f aca="false">G389+H389</f>
        <v>10</v>
      </c>
      <c r="J389" s="3" t="str">
        <f aca="false">IF(H389=9,IF(G389=9,"즉시 착수",IF(G389=3,"표준화 병행","선결 과제")),IF(H389=3,IF(G389=1,"보류","2단계 확장"),IF(G389=1,"제외","여력 시 수집")))</f>
        <v>선결 과제</v>
      </c>
    </row>
    <row r="390" customFormat="false" ht="15" hidden="false" customHeight="false" outlineLevel="0" collapsed="false">
      <c r="A390" s="3" t="n">
        <v>389</v>
      </c>
      <c r="B390" s="3" t="s">
        <v>471</v>
      </c>
      <c r="C390" s="4" t="s">
        <v>472</v>
      </c>
      <c r="D390" s="5" t="s">
        <v>358</v>
      </c>
      <c r="E390" s="4" t="s">
        <v>473</v>
      </c>
      <c r="F390" s="9" t="s">
        <v>478</v>
      </c>
      <c r="G390" s="7" t="n">
        <v>9</v>
      </c>
      <c r="H390" s="7" t="n">
        <v>9</v>
      </c>
      <c r="I390" s="8" t="n">
        <f aca="false">G390+H390</f>
        <v>18</v>
      </c>
      <c r="J390" s="3" t="str">
        <f aca="false">IF(H390=9,IF(G390=9,"즉시 착수",IF(G390=3,"표준화 병행","선결 과제")),IF(H390=3,IF(G390=1,"보류","2단계 확장"),IF(G390=1,"제외","여력 시 수집")))</f>
        <v>즉시 착수</v>
      </c>
    </row>
    <row r="391" customFormat="false" ht="15" hidden="false" customHeight="false" outlineLevel="0" collapsed="false">
      <c r="A391" s="3" t="n">
        <v>390</v>
      </c>
      <c r="B391" s="3" t="s">
        <v>471</v>
      </c>
      <c r="C391" s="4" t="s">
        <v>472</v>
      </c>
      <c r="D391" s="5" t="s">
        <v>358</v>
      </c>
      <c r="E391" s="4" t="s">
        <v>473</v>
      </c>
      <c r="F391" s="9" t="s">
        <v>479</v>
      </c>
      <c r="G391" s="7" t="n">
        <v>9</v>
      </c>
      <c r="H391" s="7" t="n">
        <v>9</v>
      </c>
      <c r="I391" s="8" t="n">
        <f aca="false">G391+H391</f>
        <v>18</v>
      </c>
      <c r="J391" s="3" t="str">
        <f aca="false">IF(H391=9,IF(G391=9,"즉시 착수",IF(G391=3,"표준화 병행","선결 과제")),IF(H391=3,IF(G391=1,"보류","2단계 확장"),IF(G391=1,"제외","여력 시 수집")))</f>
        <v>즉시 착수</v>
      </c>
    </row>
    <row r="392" customFormat="false" ht="15" hidden="false" customHeight="false" outlineLevel="0" collapsed="false">
      <c r="A392" s="3" t="n">
        <v>391</v>
      </c>
      <c r="B392" s="3" t="s">
        <v>471</v>
      </c>
      <c r="C392" s="4" t="s">
        <v>472</v>
      </c>
      <c r="D392" s="5" t="s">
        <v>358</v>
      </c>
      <c r="E392" s="4" t="s">
        <v>480</v>
      </c>
      <c r="F392" s="9" t="s">
        <v>481</v>
      </c>
      <c r="G392" s="12" t="n">
        <v>3</v>
      </c>
      <c r="H392" s="12" t="n">
        <v>3</v>
      </c>
      <c r="I392" s="15" t="n">
        <f aca="false">G392+H392</f>
        <v>6</v>
      </c>
      <c r="J392" s="3" t="str">
        <f aca="false">IF(H392=9,IF(G392=9,"즉시 착수",IF(G392=3,"표준화 병행","선결 과제")),IF(H392=3,IF(G392=1,"보류","2단계 확장"),IF(G392=1,"제외","여력 시 수집")))</f>
        <v>2단계 확장</v>
      </c>
    </row>
    <row r="393" customFormat="false" ht="15" hidden="false" customHeight="false" outlineLevel="0" collapsed="false">
      <c r="A393" s="3" t="n">
        <v>392</v>
      </c>
      <c r="B393" s="3" t="s">
        <v>471</v>
      </c>
      <c r="C393" s="4" t="s">
        <v>472</v>
      </c>
      <c r="D393" s="5" t="s">
        <v>358</v>
      </c>
      <c r="E393" s="4" t="s">
        <v>480</v>
      </c>
      <c r="F393" s="9" t="s">
        <v>482</v>
      </c>
      <c r="G393" s="12" t="n">
        <v>3</v>
      </c>
      <c r="H393" s="12" t="n">
        <v>3</v>
      </c>
      <c r="I393" s="15" t="n">
        <f aca="false">G393+H393</f>
        <v>6</v>
      </c>
      <c r="J393" s="3" t="str">
        <f aca="false">IF(H393=9,IF(G393=9,"즉시 착수",IF(G393=3,"표준화 병행","선결 과제")),IF(H393=3,IF(G393=1,"보류","2단계 확장"),IF(G393=1,"제외","여력 시 수집")))</f>
        <v>2단계 확장</v>
      </c>
    </row>
    <row r="394" customFormat="false" ht="15" hidden="false" customHeight="false" outlineLevel="0" collapsed="false">
      <c r="A394" s="3" t="n">
        <v>393</v>
      </c>
      <c r="B394" s="3" t="s">
        <v>471</v>
      </c>
      <c r="C394" s="4" t="s">
        <v>472</v>
      </c>
      <c r="D394" s="5" t="s">
        <v>358</v>
      </c>
      <c r="E394" s="4" t="s">
        <v>480</v>
      </c>
      <c r="F394" s="9" t="s">
        <v>483</v>
      </c>
      <c r="G394" s="12" t="n">
        <v>3</v>
      </c>
      <c r="H394" s="12" t="n">
        <v>3</v>
      </c>
      <c r="I394" s="15" t="n">
        <f aca="false">G394+H394</f>
        <v>6</v>
      </c>
      <c r="J394" s="3" t="str">
        <f aca="false">IF(H394=9,IF(G394=9,"즉시 착수",IF(G394=3,"표준화 병행","선결 과제")),IF(H394=3,IF(G394=1,"보류","2단계 확장"),IF(G394=1,"제외","여력 시 수집")))</f>
        <v>2단계 확장</v>
      </c>
    </row>
    <row r="395" customFormat="false" ht="15" hidden="false" customHeight="false" outlineLevel="0" collapsed="false">
      <c r="A395" s="3" t="n">
        <v>394</v>
      </c>
      <c r="B395" s="3" t="s">
        <v>471</v>
      </c>
      <c r="C395" s="4" t="s">
        <v>472</v>
      </c>
      <c r="D395" s="5" t="s">
        <v>358</v>
      </c>
      <c r="E395" s="4" t="s">
        <v>480</v>
      </c>
      <c r="F395" s="9" t="s">
        <v>484</v>
      </c>
      <c r="G395" s="12" t="n">
        <v>3</v>
      </c>
      <c r="H395" s="12" t="n">
        <v>3</v>
      </c>
      <c r="I395" s="15" t="n">
        <f aca="false">G395+H395</f>
        <v>6</v>
      </c>
      <c r="J395" s="3" t="str">
        <f aca="false">IF(H395=9,IF(G395=9,"즉시 착수",IF(G395=3,"표준화 병행","선결 과제")),IF(H395=3,IF(G395=1,"보류","2단계 확장"),IF(G395=1,"제외","여력 시 수집")))</f>
        <v>2단계 확장</v>
      </c>
    </row>
    <row r="396" customFormat="false" ht="15" hidden="false" customHeight="false" outlineLevel="0" collapsed="false">
      <c r="A396" s="3" t="n">
        <v>395</v>
      </c>
      <c r="B396" s="3" t="s">
        <v>471</v>
      </c>
      <c r="C396" s="4" t="s">
        <v>472</v>
      </c>
      <c r="D396" s="5" t="s">
        <v>358</v>
      </c>
      <c r="E396" s="4" t="s">
        <v>480</v>
      </c>
      <c r="F396" s="9" t="s">
        <v>485</v>
      </c>
      <c r="G396" s="12" t="n">
        <v>3</v>
      </c>
      <c r="H396" s="12" t="n">
        <v>3</v>
      </c>
      <c r="I396" s="15" t="n">
        <f aca="false">G396+H396</f>
        <v>6</v>
      </c>
      <c r="J396" s="3" t="str">
        <f aca="false">IF(H396=9,IF(G396=9,"즉시 착수",IF(G396=3,"표준화 병행","선결 과제")),IF(H396=3,IF(G396=1,"보류","2단계 확장"),IF(G396=1,"제외","여력 시 수집")))</f>
        <v>2단계 확장</v>
      </c>
    </row>
    <row r="397" customFormat="false" ht="15" hidden="false" customHeight="false" outlineLevel="0" collapsed="false">
      <c r="A397" s="3" t="n">
        <v>396</v>
      </c>
      <c r="B397" s="3" t="s">
        <v>471</v>
      </c>
      <c r="C397" s="4" t="s">
        <v>472</v>
      </c>
      <c r="D397" s="5" t="s">
        <v>358</v>
      </c>
      <c r="E397" s="4" t="s">
        <v>480</v>
      </c>
      <c r="F397" s="9" t="s">
        <v>486</v>
      </c>
      <c r="G397" s="12" t="n">
        <v>3</v>
      </c>
      <c r="H397" s="12" t="n">
        <v>3</v>
      </c>
      <c r="I397" s="15" t="n">
        <f aca="false">G397+H397</f>
        <v>6</v>
      </c>
      <c r="J397" s="3" t="str">
        <f aca="false">IF(H397=9,IF(G397=9,"즉시 착수",IF(G397=3,"표준화 병행","선결 과제")),IF(H397=3,IF(G397=1,"보류","2단계 확장"),IF(G397=1,"제외","여력 시 수집")))</f>
        <v>2단계 확장</v>
      </c>
    </row>
    <row r="398" customFormat="false" ht="15" hidden="false" customHeight="false" outlineLevel="0" collapsed="false">
      <c r="A398" s="3" t="n">
        <v>397</v>
      </c>
      <c r="B398" s="3" t="s">
        <v>471</v>
      </c>
      <c r="C398" s="4" t="s">
        <v>472</v>
      </c>
      <c r="D398" s="5" t="s">
        <v>358</v>
      </c>
      <c r="E398" s="4" t="s">
        <v>487</v>
      </c>
      <c r="F398" s="9" t="s">
        <v>488</v>
      </c>
      <c r="G398" s="10" t="n">
        <v>1</v>
      </c>
      <c r="H398" s="7" t="n">
        <v>9</v>
      </c>
      <c r="I398" s="11" t="n">
        <f aca="false">G398+H398</f>
        <v>10</v>
      </c>
      <c r="J398" s="3" t="str">
        <f aca="false">IF(H398=9,IF(G398=9,"즉시 착수",IF(G398=3,"표준화 병행","선결 과제")),IF(H398=3,IF(G398=1,"보류","2단계 확장"),IF(G398=1,"제외","여력 시 수집")))</f>
        <v>선결 과제</v>
      </c>
    </row>
    <row r="399" customFormat="false" ht="15" hidden="false" customHeight="false" outlineLevel="0" collapsed="false">
      <c r="A399" s="3" t="n">
        <v>398</v>
      </c>
      <c r="B399" s="3" t="s">
        <v>471</v>
      </c>
      <c r="C399" s="4" t="s">
        <v>472</v>
      </c>
      <c r="D399" s="5" t="s">
        <v>358</v>
      </c>
      <c r="E399" s="4" t="s">
        <v>487</v>
      </c>
      <c r="F399" s="9" t="s">
        <v>489</v>
      </c>
      <c r="G399" s="10" t="n">
        <v>1</v>
      </c>
      <c r="H399" s="7" t="n">
        <v>9</v>
      </c>
      <c r="I399" s="11" t="n">
        <f aca="false">G399+H399</f>
        <v>10</v>
      </c>
      <c r="J399" s="3" t="str">
        <f aca="false">IF(H399=9,IF(G399=9,"즉시 착수",IF(G399=3,"표준화 병행","선결 과제")),IF(H399=3,IF(G399=1,"보류","2단계 확장"),IF(G399=1,"제외","여력 시 수집")))</f>
        <v>선결 과제</v>
      </c>
    </row>
    <row r="400" customFormat="false" ht="15" hidden="false" customHeight="false" outlineLevel="0" collapsed="false">
      <c r="A400" s="3" t="n">
        <v>399</v>
      </c>
      <c r="B400" s="3" t="s">
        <v>471</v>
      </c>
      <c r="C400" s="4" t="s">
        <v>472</v>
      </c>
      <c r="D400" s="5" t="s">
        <v>358</v>
      </c>
      <c r="E400" s="4" t="s">
        <v>487</v>
      </c>
      <c r="F400" s="9" t="s">
        <v>284</v>
      </c>
      <c r="G400" s="10" t="n">
        <v>1</v>
      </c>
      <c r="H400" s="7" t="n">
        <v>9</v>
      </c>
      <c r="I400" s="11" t="n">
        <f aca="false">G400+H400</f>
        <v>10</v>
      </c>
      <c r="J400" s="3" t="str">
        <f aca="false">IF(H400=9,IF(G400=9,"즉시 착수",IF(G400=3,"표준화 병행","선결 과제")),IF(H400=3,IF(G400=1,"보류","2단계 확장"),IF(G400=1,"제외","여력 시 수집")))</f>
        <v>선결 과제</v>
      </c>
    </row>
    <row r="401" customFormat="false" ht="15" hidden="false" customHeight="false" outlineLevel="0" collapsed="false">
      <c r="A401" s="3" t="n">
        <v>400</v>
      </c>
      <c r="B401" s="3" t="s">
        <v>471</v>
      </c>
      <c r="C401" s="4" t="s">
        <v>472</v>
      </c>
      <c r="D401" s="5" t="s">
        <v>358</v>
      </c>
      <c r="E401" s="4" t="s">
        <v>487</v>
      </c>
      <c r="F401" s="9" t="s">
        <v>283</v>
      </c>
      <c r="G401" s="10" t="n">
        <v>1</v>
      </c>
      <c r="H401" s="7" t="n">
        <v>9</v>
      </c>
      <c r="I401" s="11" t="n">
        <f aca="false">G401+H401</f>
        <v>10</v>
      </c>
      <c r="J401" s="3" t="str">
        <f aca="false">IF(H401=9,IF(G401=9,"즉시 착수",IF(G401=3,"표준화 병행","선결 과제")),IF(H401=3,IF(G401=1,"보류","2단계 확장"),IF(G401=1,"제외","여력 시 수집")))</f>
        <v>선결 과제</v>
      </c>
    </row>
    <row r="402" customFormat="false" ht="15" hidden="false" customHeight="false" outlineLevel="0" collapsed="false">
      <c r="A402" s="3" t="n">
        <v>401</v>
      </c>
      <c r="B402" s="3" t="s">
        <v>471</v>
      </c>
      <c r="C402" s="4" t="s">
        <v>472</v>
      </c>
      <c r="D402" s="5" t="s">
        <v>358</v>
      </c>
      <c r="E402" s="4" t="s">
        <v>487</v>
      </c>
      <c r="F402" s="9" t="s">
        <v>490</v>
      </c>
      <c r="G402" s="7" t="n">
        <v>9</v>
      </c>
      <c r="H402" s="7" t="n">
        <v>9</v>
      </c>
      <c r="I402" s="8" t="n">
        <f aca="false">G402+H402</f>
        <v>18</v>
      </c>
      <c r="J402" s="3" t="str">
        <f aca="false">IF(H402=9,IF(G402=9,"즉시 착수",IF(G402=3,"표준화 병행","선결 과제")),IF(H402=3,IF(G402=1,"보류","2단계 확장"),IF(G402=1,"제외","여력 시 수집")))</f>
        <v>즉시 착수</v>
      </c>
    </row>
    <row r="403" customFormat="false" ht="15" hidden="false" customHeight="false" outlineLevel="0" collapsed="false">
      <c r="A403" s="3" t="n">
        <v>402</v>
      </c>
      <c r="B403" s="3" t="s">
        <v>471</v>
      </c>
      <c r="C403" s="4" t="s">
        <v>472</v>
      </c>
      <c r="D403" s="5" t="s">
        <v>358</v>
      </c>
      <c r="E403" s="4" t="s">
        <v>487</v>
      </c>
      <c r="F403" s="9" t="s">
        <v>491</v>
      </c>
      <c r="G403" s="10" t="n">
        <v>1</v>
      </c>
      <c r="H403" s="7" t="n">
        <v>9</v>
      </c>
      <c r="I403" s="11" t="n">
        <f aca="false">G403+H403</f>
        <v>10</v>
      </c>
      <c r="J403" s="3" t="str">
        <f aca="false">IF(H403=9,IF(G403=9,"즉시 착수",IF(G403=3,"표준화 병행","선결 과제")),IF(H403=3,IF(G403=1,"보류","2단계 확장"),IF(G403=1,"제외","여력 시 수집")))</f>
        <v>선결 과제</v>
      </c>
    </row>
    <row r="404" customFormat="false" ht="15" hidden="false" customHeight="false" outlineLevel="0" collapsed="false">
      <c r="A404" s="3" t="n">
        <v>403</v>
      </c>
      <c r="B404" s="3" t="s">
        <v>471</v>
      </c>
      <c r="C404" s="4" t="s">
        <v>472</v>
      </c>
      <c r="D404" s="5" t="s">
        <v>358</v>
      </c>
      <c r="E404" s="4" t="s">
        <v>492</v>
      </c>
      <c r="F404" s="9" t="s">
        <v>493</v>
      </c>
      <c r="G404" s="12" t="n">
        <v>3</v>
      </c>
      <c r="H404" s="12" t="n">
        <v>3</v>
      </c>
      <c r="I404" s="15" t="n">
        <f aca="false">G404+H404</f>
        <v>6</v>
      </c>
      <c r="J404" s="3" t="str">
        <f aca="false">IF(H404=9,IF(G404=9,"즉시 착수",IF(G404=3,"표준화 병행","선결 과제")),IF(H404=3,IF(G404=1,"보류","2단계 확장"),IF(G404=1,"제외","여력 시 수집")))</f>
        <v>2단계 확장</v>
      </c>
    </row>
    <row r="405" customFormat="false" ht="15" hidden="false" customHeight="false" outlineLevel="0" collapsed="false">
      <c r="A405" s="3" t="n">
        <v>404</v>
      </c>
      <c r="B405" s="3" t="s">
        <v>471</v>
      </c>
      <c r="C405" s="4" t="s">
        <v>472</v>
      </c>
      <c r="D405" s="5" t="s">
        <v>358</v>
      </c>
      <c r="E405" s="4" t="s">
        <v>492</v>
      </c>
      <c r="F405" s="9" t="s">
        <v>494</v>
      </c>
      <c r="G405" s="12" t="n">
        <v>3</v>
      </c>
      <c r="H405" s="12" t="n">
        <v>3</v>
      </c>
      <c r="I405" s="15" t="n">
        <f aca="false">G405+H405</f>
        <v>6</v>
      </c>
      <c r="J405" s="3" t="str">
        <f aca="false">IF(H405=9,IF(G405=9,"즉시 착수",IF(G405=3,"표준화 병행","선결 과제")),IF(H405=3,IF(G405=1,"보류","2단계 확장"),IF(G405=1,"제외","여력 시 수집")))</f>
        <v>2단계 확장</v>
      </c>
    </row>
    <row r="406" customFormat="false" ht="15" hidden="false" customHeight="false" outlineLevel="0" collapsed="false">
      <c r="A406" s="3" t="n">
        <v>405</v>
      </c>
      <c r="B406" s="3" t="s">
        <v>471</v>
      </c>
      <c r="C406" s="4" t="s">
        <v>472</v>
      </c>
      <c r="D406" s="5" t="s">
        <v>358</v>
      </c>
      <c r="E406" s="4" t="s">
        <v>492</v>
      </c>
      <c r="F406" s="9" t="s">
        <v>495</v>
      </c>
      <c r="G406" s="12" t="n">
        <v>3</v>
      </c>
      <c r="H406" s="12" t="n">
        <v>3</v>
      </c>
      <c r="I406" s="15" t="n">
        <f aca="false">G406+H406</f>
        <v>6</v>
      </c>
      <c r="J406" s="3" t="str">
        <f aca="false">IF(H406=9,IF(G406=9,"즉시 착수",IF(G406=3,"표준화 병행","선결 과제")),IF(H406=3,IF(G406=1,"보류","2단계 확장"),IF(G406=1,"제외","여력 시 수집")))</f>
        <v>2단계 확장</v>
      </c>
    </row>
    <row r="407" customFormat="false" ht="15" hidden="false" customHeight="false" outlineLevel="0" collapsed="false">
      <c r="A407" s="3" t="n">
        <v>406</v>
      </c>
      <c r="B407" s="3" t="s">
        <v>471</v>
      </c>
      <c r="C407" s="4" t="s">
        <v>472</v>
      </c>
      <c r="D407" s="5" t="s">
        <v>358</v>
      </c>
      <c r="E407" s="4" t="s">
        <v>492</v>
      </c>
      <c r="F407" s="9" t="s">
        <v>496</v>
      </c>
      <c r="G407" s="7" t="n">
        <v>9</v>
      </c>
      <c r="H407" s="10" t="n">
        <v>1</v>
      </c>
      <c r="I407" s="11" t="n">
        <f aca="false">G407+H407</f>
        <v>10</v>
      </c>
      <c r="J407" s="3" t="str">
        <f aca="false">IF(H407=9,IF(G407=9,"즉시 착수",IF(G407=3,"표준화 병행","선결 과제")),IF(H407=3,IF(G407=1,"보류","2단계 확장"),IF(G407=1,"제외","여력 시 수집")))</f>
        <v>여력 시 수집</v>
      </c>
    </row>
    <row r="408" customFormat="false" ht="15" hidden="false" customHeight="false" outlineLevel="0" collapsed="false">
      <c r="A408" s="3" t="n">
        <v>407</v>
      </c>
      <c r="B408" s="3" t="s">
        <v>471</v>
      </c>
      <c r="C408" s="4" t="s">
        <v>472</v>
      </c>
      <c r="D408" s="5" t="s">
        <v>358</v>
      </c>
      <c r="E408" s="4" t="s">
        <v>492</v>
      </c>
      <c r="F408" s="9" t="s">
        <v>497</v>
      </c>
      <c r="G408" s="12" t="n">
        <v>3</v>
      </c>
      <c r="H408" s="12" t="n">
        <v>3</v>
      </c>
      <c r="I408" s="15" t="n">
        <f aca="false">G408+H408</f>
        <v>6</v>
      </c>
      <c r="J408" s="3" t="str">
        <f aca="false">IF(H408=9,IF(G408=9,"즉시 착수",IF(G408=3,"표준화 병행","선결 과제")),IF(H408=3,IF(G408=1,"보류","2단계 확장"),IF(G408=1,"제외","여력 시 수집")))</f>
        <v>2단계 확장</v>
      </c>
    </row>
    <row r="409" customFormat="false" ht="15" hidden="false" customHeight="false" outlineLevel="0" collapsed="false">
      <c r="A409" s="3" t="n">
        <v>408</v>
      </c>
      <c r="B409" s="3" t="s">
        <v>471</v>
      </c>
      <c r="C409" s="4" t="s">
        <v>472</v>
      </c>
      <c r="D409" s="5" t="s">
        <v>358</v>
      </c>
      <c r="E409" s="4" t="s">
        <v>492</v>
      </c>
      <c r="F409" s="9" t="s">
        <v>498</v>
      </c>
      <c r="G409" s="12" t="n">
        <v>3</v>
      </c>
      <c r="H409" s="12" t="n">
        <v>3</v>
      </c>
      <c r="I409" s="15" t="n">
        <f aca="false">G409+H409</f>
        <v>6</v>
      </c>
      <c r="J409" s="3" t="str">
        <f aca="false">IF(H409=9,IF(G409=9,"즉시 착수",IF(G409=3,"표준화 병행","선결 과제")),IF(H409=3,IF(G409=1,"보류","2단계 확장"),IF(G409=1,"제외","여력 시 수집")))</f>
        <v>2단계 확장</v>
      </c>
    </row>
    <row r="410" customFormat="false" ht="15" hidden="false" customHeight="false" outlineLevel="0" collapsed="false">
      <c r="A410" s="3" t="n">
        <v>409</v>
      </c>
      <c r="B410" s="3" t="s">
        <v>471</v>
      </c>
      <c r="C410" s="4" t="s">
        <v>472</v>
      </c>
      <c r="D410" s="5" t="s">
        <v>358</v>
      </c>
      <c r="E410" s="4" t="s">
        <v>499</v>
      </c>
      <c r="F410" s="9" t="s">
        <v>500</v>
      </c>
      <c r="G410" s="7" t="n">
        <v>9</v>
      </c>
      <c r="H410" s="12" t="n">
        <v>3</v>
      </c>
      <c r="I410" s="13" t="n">
        <f aca="false">G410+H410</f>
        <v>12</v>
      </c>
      <c r="J410" s="3" t="str">
        <f aca="false">IF(H410=9,IF(G410=9,"즉시 착수",IF(G410=3,"표준화 병행","선결 과제")),IF(H410=3,IF(G410=1,"보류","2단계 확장"),IF(G410=1,"제외","여력 시 수집")))</f>
        <v>2단계 확장</v>
      </c>
    </row>
    <row r="411" customFormat="false" ht="15" hidden="false" customHeight="false" outlineLevel="0" collapsed="false">
      <c r="A411" s="3" t="n">
        <v>410</v>
      </c>
      <c r="B411" s="3" t="s">
        <v>471</v>
      </c>
      <c r="C411" s="4" t="s">
        <v>472</v>
      </c>
      <c r="D411" s="5" t="s">
        <v>358</v>
      </c>
      <c r="E411" s="4" t="s">
        <v>499</v>
      </c>
      <c r="F411" s="9" t="s">
        <v>501</v>
      </c>
      <c r="G411" s="7" t="n">
        <v>9</v>
      </c>
      <c r="H411" s="12" t="n">
        <v>3</v>
      </c>
      <c r="I411" s="13" t="n">
        <f aca="false">G411+H411</f>
        <v>12</v>
      </c>
      <c r="J411" s="3" t="str">
        <f aca="false">IF(H411=9,IF(G411=9,"즉시 착수",IF(G411=3,"표준화 병행","선결 과제")),IF(H411=3,IF(G411=1,"보류","2단계 확장"),IF(G411=1,"제외","여력 시 수집")))</f>
        <v>2단계 확장</v>
      </c>
    </row>
    <row r="412" customFormat="false" ht="15" hidden="false" customHeight="false" outlineLevel="0" collapsed="false">
      <c r="A412" s="3" t="n">
        <v>411</v>
      </c>
      <c r="B412" s="3" t="s">
        <v>471</v>
      </c>
      <c r="C412" s="4" t="s">
        <v>472</v>
      </c>
      <c r="D412" s="5" t="s">
        <v>358</v>
      </c>
      <c r="E412" s="4" t="s">
        <v>499</v>
      </c>
      <c r="F412" s="9" t="s">
        <v>502</v>
      </c>
      <c r="G412" s="7" t="n">
        <v>9</v>
      </c>
      <c r="H412" s="12" t="n">
        <v>3</v>
      </c>
      <c r="I412" s="13" t="n">
        <f aca="false">G412+H412</f>
        <v>12</v>
      </c>
      <c r="J412" s="3" t="str">
        <f aca="false">IF(H412=9,IF(G412=9,"즉시 착수",IF(G412=3,"표준화 병행","선결 과제")),IF(H412=3,IF(G412=1,"보류","2단계 확장"),IF(G412=1,"제외","여력 시 수집")))</f>
        <v>2단계 확장</v>
      </c>
    </row>
    <row r="413" customFormat="false" ht="15" hidden="false" customHeight="false" outlineLevel="0" collapsed="false">
      <c r="A413" s="3" t="n">
        <v>412</v>
      </c>
      <c r="B413" s="3" t="s">
        <v>471</v>
      </c>
      <c r="C413" s="4" t="s">
        <v>472</v>
      </c>
      <c r="D413" s="5" t="s">
        <v>358</v>
      </c>
      <c r="E413" s="4" t="s">
        <v>499</v>
      </c>
      <c r="F413" s="9" t="s">
        <v>503</v>
      </c>
      <c r="G413" s="7" t="n">
        <v>9</v>
      </c>
      <c r="H413" s="12" t="n">
        <v>3</v>
      </c>
      <c r="I413" s="13" t="n">
        <f aca="false">G413+H413</f>
        <v>12</v>
      </c>
      <c r="J413" s="3" t="str">
        <f aca="false">IF(H413=9,IF(G413=9,"즉시 착수",IF(G413=3,"표준화 병행","선결 과제")),IF(H413=3,IF(G413=1,"보류","2단계 확장"),IF(G413=1,"제외","여력 시 수집")))</f>
        <v>2단계 확장</v>
      </c>
    </row>
    <row r="414" customFormat="false" ht="15" hidden="false" customHeight="false" outlineLevel="0" collapsed="false">
      <c r="A414" s="3" t="n">
        <v>413</v>
      </c>
      <c r="B414" s="3" t="s">
        <v>471</v>
      </c>
      <c r="C414" s="4" t="s">
        <v>472</v>
      </c>
      <c r="D414" s="5" t="s">
        <v>358</v>
      </c>
      <c r="E414" s="4" t="s">
        <v>499</v>
      </c>
      <c r="F414" s="9" t="s">
        <v>504</v>
      </c>
      <c r="G414" s="7" t="n">
        <v>9</v>
      </c>
      <c r="H414" s="12" t="n">
        <v>3</v>
      </c>
      <c r="I414" s="13" t="n">
        <f aca="false">G414+H414</f>
        <v>12</v>
      </c>
      <c r="J414" s="3" t="str">
        <f aca="false">IF(H414=9,IF(G414=9,"즉시 착수",IF(G414=3,"표준화 병행","선결 과제")),IF(H414=3,IF(G414=1,"보류","2단계 확장"),IF(G414=1,"제외","여력 시 수집")))</f>
        <v>2단계 확장</v>
      </c>
    </row>
    <row r="415" customFormat="false" ht="15" hidden="false" customHeight="false" outlineLevel="0" collapsed="false">
      <c r="A415" s="3" t="n">
        <v>414</v>
      </c>
      <c r="B415" s="3" t="s">
        <v>471</v>
      </c>
      <c r="C415" s="4" t="s">
        <v>472</v>
      </c>
      <c r="D415" s="5" t="s">
        <v>358</v>
      </c>
      <c r="E415" s="4" t="s">
        <v>499</v>
      </c>
      <c r="F415" s="9" t="s">
        <v>505</v>
      </c>
      <c r="G415" s="10" t="n">
        <v>1</v>
      </c>
      <c r="H415" s="7" t="n">
        <v>9</v>
      </c>
      <c r="I415" s="11" t="n">
        <f aca="false">G415+H415</f>
        <v>10</v>
      </c>
      <c r="J415" s="3" t="str">
        <f aca="false">IF(H415=9,IF(G415=9,"즉시 착수",IF(G415=3,"표준화 병행","선결 과제")),IF(H415=3,IF(G415=1,"보류","2단계 확장"),IF(G415=1,"제외","여력 시 수집")))</f>
        <v>선결 과제</v>
      </c>
    </row>
    <row r="416" customFormat="false" ht="15" hidden="false" customHeight="false" outlineLevel="0" collapsed="false">
      <c r="A416" s="3" t="n">
        <v>415</v>
      </c>
      <c r="B416" s="3" t="s">
        <v>471</v>
      </c>
      <c r="C416" s="4" t="s">
        <v>472</v>
      </c>
      <c r="D416" s="5" t="s">
        <v>358</v>
      </c>
      <c r="E416" s="4" t="s">
        <v>506</v>
      </c>
      <c r="F416" s="9" t="s">
        <v>507</v>
      </c>
      <c r="G416" s="12" t="n">
        <v>3</v>
      </c>
      <c r="H416" s="7" t="n">
        <v>9</v>
      </c>
      <c r="I416" s="13" t="n">
        <f aca="false">G416+H416</f>
        <v>12</v>
      </c>
      <c r="J416" s="3" t="str">
        <f aca="false">IF(H416=9,IF(G416=9,"즉시 착수",IF(G416=3,"표준화 병행","선결 과제")),IF(H416=3,IF(G416=1,"보류","2단계 확장"),IF(G416=1,"제외","여력 시 수집")))</f>
        <v>표준화 병행</v>
      </c>
    </row>
    <row r="417" customFormat="false" ht="15" hidden="false" customHeight="false" outlineLevel="0" collapsed="false">
      <c r="A417" s="3" t="n">
        <v>416</v>
      </c>
      <c r="B417" s="3" t="s">
        <v>471</v>
      </c>
      <c r="C417" s="4" t="s">
        <v>472</v>
      </c>
      <c r="D417" s="5" t="s">
        <v>358</v>
      </c>
      <c r="E417" s="4" t="s">
        <v>506</v>
      </c>
      <c r="F417" s="9" t="s">
        <v>508</v>
      </c>
      <c r="G417" s="12" t="n">
        <v>3</v>
      </c>
      <c r="H417" s="12" t="n">
        <v>3</v>
      </c>
      <c r="I417" s="15" t="n">
        <f aca="false">G417+H417</f>
        <v>6</v>
      </c>
      <c r="J417" s="3" t="str">
        <f aca="false">IF(H417=9,IF(G417=9,"즉시 착수",IF(G417=3,"표준화 병행","선결 과제")),IF(H417=3,IF(G417=1,"보류","2단계 확장"),IF(G417=1,"제외","여력 시 수집")))</f>
        <v>2단계 확장</v>
      </c>
    </row>
    <row r="418" customFormat="false" ht="15" hidden="false" customHeight="false" outlineLevel="0" collapsed="false">
      <c r="A418" s="3" t="n">
        <v>417</v>
      </c>
      <c r="B418" s="3" t="s">
        <v>471</v>
      </c>
      <c r="C418" s="4" t="s">
        <v>472</v>
      </c>
      <c r="D418" s="5" t="s">
        <v>358</v>
      </c>
      <c r="E418" s="4" t="s">
        <v>506</v>
      </c>
      <c r="F418" s="9" t="s">
        <v>509</v>
      </c>
      <c r="G418" s="12" t="n">
        <v>3</v>
      </c>
      <c r="H418" s="12" t="n">
        <v>3</v>
      </c>
      <c r="I418" s="15" t="n">
        <f aca="false">G418+H418</f>
        <v>6</v>
      </c>
      <c r="J418" s="3" t="str">
        <f aca="false">IF(H418=9,IF(G418=9,"즉시 착수",IF(G418=3,"표준화 병행","선결 과제")),IF(H418=3,IF(G418=1,"보류","2단계 확장"),IF(G418=1,"제외","여력 시 수집")))</f>
        <v>2단계 확장</v>
      </c>
    </row>
    <row r="419" customFormat="false" ht="15" hidden="false" customHeight="false" outlineLevel="0" collapsed="false">
      <c r="A419" s="3" t="n">
        <v>418</v>
      </c>
      <c r="B419" s="3" t="s">
        <v>471</v>
      </c>
      <c r="C419" s="4" t="s">
        <v>472</v>
      </c>
      <c r="D419" s="5" t="s">
        <v>358</v>
      </c>
      <c r="E419" s="4" t="s">
        <v>506</v>
      </c>
      <c r="F419" s="9" t="s">
        <v>510</v>
      </c>
      <c r="G419" s="10" t="n">
        <v>1</v>
      </c>
      <c r="H419" s="12" t="n">
        <v>3</v>
      </c>
      <c r="I419" s="14" t="n">
        <f aca="false">G419+H419</f>
        <v>4</v>
      </c>
      <c r="J419" s="3" t="str">
        <f aca="false">IF(H419=9,IF(G419=9,"즉시 착수",IF(G419=3,"표준화 병행","선결 과제")),IF(H419=3,IF(G419=1,"보류","2단계 확장"),IF(G419=1,"제외","여력 시 수집")))</f>
        <v>보류</v>
      </c>
    </row>
    <row r="420" customFormat="false" ht="15" hidden="false" customHeight="false" outlineLevel="0" collapsed="false">
      <c r="A420" s="3" t="n">
        <v>419</v>
      </c>
      <c r="B420" s="3" t="s">
        <v>471</v>
      </c>
      <c r="C420" s="4" t="s">
        <v>472</v>
      </c>
      <c r="D420" s="5" t="s">
        <v>358</v>
      </c>
      <c r="E420" s="4" t="s">
        <v>506</v>
      </c>
      <c r="F420" s="9" t="s">
        <v>511</v>
      </c>
      <c r="G420" s="12" t="n">
        <v>3</v>
      </c>
      <c r="H420" s="12" t="n">
        <v>3</v>
      </c>
      <c r="I420" s="15" t="n">
        <f aca="false">G420+H420</f>
        <v>6</v>
      </c>
      <c r="J420" s="3" t="str">
        <f aca="false">IF(H420=9,IF(G420=9,"즉시 착수",IF(G420=3,"표준화 병행","선결 과제")),IF(H420=3,IF(G420=1,"보류","2단계 확장"),IF(G420=1,"제외","여력 시 수집")))</f>
        <v>2단계 확장</v>
      </c>
    </row>
    <row r="421" customFormat="false" ht="15" hidden="false" customHeight="false" outlineLevel="0" collapsed="false">
      <c r="A421" s="3" t="n">
        <v>420</v>
      </c>
      <c r="B421" s="3" t="s">
        <v>471</v>
      </c>
      <c r="C421" s="4" t="s">
        <v>472</v>
      </c>
      <c r="D421" s="5" t="s">
        <v>358</v>
      </c>
      <c r="E421" s="4" t="s">
        <v>506</v>
      </c>
      <c r="F421" s="9" t="s">
        <v>512</v>
      </c>
      <c r="G421" s="12" t="n">
        <v>3</v>
      </c>
      <c r="H421" s="12" t="n">
        <v>3</v>
      </c>
      <c r="I421" s="15" t="n">
        <f aca="false">G421+H421</f>
        <v>6</v>
      </c>
      <c r="J421" s="3" t="str">
        <f aca="false">IF(H421=9,IF(G421=9,"즉시 착수",IF(G421=3,"표준화 병행","선결 과제")),IF(H421=3,IF(G421=1,"보류","2단계 확장"),IF(G421=1,"제외","여력 시 수집")))</f>
        <v>2단계 확장</v>
      </c>
    </row>
    <row r="422" customFormat="false" ht="15" hidden="false" customHeight="false" outlineLevel="0" collapsed="false">
      <c r="A422" s="3" t="n">
        <v>421</v>
      </c>
      <c r="B422" s="3" t="s">
        <v>471</v>
      </c>
      <c r="C422" s="4" t="s">
        <v>472</v>
      </c>
      <c r="D422" s="5" t="s">
        <v>358</v>
      </c>
      <c r="E422" s="4" t="s">
        <v>513</v>
      </c>
      <c r="F422" s="9" t="s">
        <v>514</v>
      </c>
      <c r="G422" s="12" t="n">
        <v>3</v>
      </c>
      <c r="H422" s="12" t="n">
        <v>3</v>
      </c>
      <c r="I422" s="15" t="n">
        <f aca="false">G422+H422</f>
        <v>6</v>
      </c>
      <c r="J422" s="3" t="str">
        <f aca="false">IF(H422=9,IF(G422=9,"즉시 착수",IF(G422=3,"표준화 병행","선결 과제")),IF(H422=3,IF(G422=1,"보류","2단계 확장"),IF(G422=1,"제외","여력 시 수집")))</f>
        <v>2단계 확장</v>
      </c>
    </row>
    <row r="423" customFormat="false" ht="15" hidden="false" customHeight="false" outlineLevel="0" collapsed="false">
      <c r="A423" s="3" t="n">
        <v>422</v>
      </c>
      <c r="B423" s="3" t="s">
        <v>471</v>
      </c>
      <c r="C423" s="4" t="s">
        <v>472</v>
      </c>
      <c r="D423" s="5" t="s">
        <v>358</v>
      </c>
      <c r="E423" s="4" t="s">
        <v>513</v>
      </c>
      <c r="F423" s="9" t="s">
        <v>515</v>
      </c>
      <c r="G423" s="12" t="n">
        <v>3</v>
      </c>
      <c r="H423" s="12" t="n">
        <v>3</v>
      </c>
      <c r="I423" s="15" t="n">
        <f aca="false">G423+H423</f>
        <v>6</v>
      </c>
      <c r="J423" s="3" t="str">
        <f aca="false">IF(H423=9,IF(G423=9,"즉시 착수",IF(G423=3,"표준화 병행","선결 과제")),IF(H423=3,IF(G423=1,"보류","2단계 확장"),IF(G423=1,"제외","여력 시 수집")))</f>
        <v>2단계 확장</v>
      </c>
    </row>
    <row r="424" customFormat="false" ht="15" hidden="false" customHeight="false" outlineLevel="0" collapsed="false">
      <c r="A424" s="3" t="n">
        <v>423</v>
      </c>
      <c r="B424" s="3" t="s">
        <v>471</v>
      </c>
      <c r="C424" s="4" t="s">
        <v>472</v>
      </c>
      <c r="D424" s="5" t="s">
        <v>358</v>
      </c>
      <c r="E424" s="4" t="s">
        <v>513</v>
      </c>
      <c r="F424" s="9" t="s">
        <v>516</v>
      </c>
      <c r="G424" s="12" t="n">
        <v>3</v>
      </c>
      <c r="H424" s="12" t="n">
        <v>3</v>
      </c>
      <c r="I424" s="15" t="n">
        <f aca="false">G424+H424</f>
        <v>6</v>
      </c>
      <c r="J424" s="3" t="str">
        <f aca="false">IF(H424=9,IF(G424=9,"즉시 착수",IF(G424=3,"표준화 병행","선결 과제")),IF(H424=3,IF(G424=1,"보류","2단계 확장"),IF(G424=1,"제외","여력 시 수집")))</f>
        <v>2단계 확장</v>
      </c>
    </row>
    <row r="425" customFormat="false" ht="15" hidden="false" customHeight="false" outlineLevel="0" collapsed="false">
      <c r="A425" s="3" t="n">
        <v>424</v>
      </c>
      <c r="B425" s="3" t="s">
        <v>471</v>
      </c>
      <c r="C425" s="4" t="s">
        <v>472</v>
      </c>
      <c r="D425" s="5" t="s">
        <v>358</v>
      </c>
      <c r="E425" s="4" t="s">
        <v>513</v>
      </c>
      <c r="F425" s="9" t="s">
        <v>517</v>
      </c>
      <c r="G425" s="12" t="n">
        <v>3</v>
      </c>
      <c r="H425" s="12" t="n">
        <v>3</v>
      </c>
      <c r="I425" s="15" t="n">
        <f aca="false">G425+H425</f>
        <v>6</v>
      </c>
      <c r="J425" s="3" t="str">
        <f aca="false">IF(H425=9,IF(G425=9,"즉시 착수",IF(G425=3,"표준화 병행","선결 과제")),IF(H425=3,IF(G425=1,"보류","2단계 확장"),IF(G425=1,"제외","여력 시 수집")))</f>
        <v>2단계 확장</v>
      </c>
    </row>
    <row r="426" customFormat="false" ht="15" hidden="false" customHeight="false" outlineLevel="0" collapsed="false">
      <c r="A426" s="3" t="n">
        <v>425</v>
      </c>
      <c r="B426" s="3" t="s">
        <v>471</v>
      </c>
      <c r="C426" s="4" t="s">
        <v>472</v>
      </c>
      <c r="D426" s="5" t="s">
        <v>358</v>
      </c>
      <c r="E426" s="4" t="s">
        <v>513</v>
      </c>
      <c r="F426" s="9" t="s">
        <v>518</v>
      </c>
      <c r="G426" s="7" t="n">
        <v>9</v>
      </c>
      <c r="H426" s="7" t="n">
        <v>9</v>
      </c>
      <c r="I426" s="8" t="n">
        <f aca="false">G426+H426</f>
        <v>18</v>
      </c>
      <c r="J426" s="3" t="str">
        <f aca="false">IF(H426=9,IF(G426=9,"즉시 착수",IF(G426=3,"표준화 병행","선결 과제")),IF(H426=3,IF(G426=1,"보류","2단계 확장"),IF(G426=1,"제외","여력 시 수집")))</f>
        <v>즉시 착수</v>
      </c>
    </row>
    <row r="427" customFormat="false" ht="15" hidden="false" customHeight="false" outlineLevel="0" collapsed="false">
      <c r="A427" s="3" t="n">
        <v>426</v>
      </c>
      <c r="B427" s="3" t="s">
        <v>471</v>
      </c>
      <c r="C427" s="4" t="s">
        <v>472</v>
      </c>
      <c r="D427" s="5" t="s">
        <v>358</v>
      </c>
      <c r="E427" s="4" t="s">
        <v>513</v>
      </c>
      <c r="F427" s="9" t="s">
        <v>174</v>
      </c>
      <c r="G427" s="12" t="n">
        <v>3</v>
      </c>
      <c r="H427" s="12" t="n">
        <v>3</v>
      </c>
      <c r="I427" s="15" t="n">
        <f aca="false">G427+H427</f>
        <v>6</v>
      </c>
      <c r="J427" s="3" t="str">
        <f aca="false">IF(H427=9,IF(G427=9,"즉시 착수",IF(G427=3,"표준화 병행","선결 과제")),IF(H427=3,IF(G427=1,"보류","2단계 확장"),IF(G427=1,"제외","여력 시 수집")))</f>
        <v>2단계 확장</v>
      </c>
    </row>
    <row r="428" customFormat="false" ht="15" hidden="false" customHeight="false" outlineLevel="0" collapsed="false">
      <c r="A428" s="3" t="n">
        <v>427</v>
      </c>
      <c r="B428" s="3" t="s">
        <v>471</v>
      </c>
      <c r="C428" s="4" t="s">
        <v>472</v>
      </c>
      <c r="D428" s="5" t="s">
        <v>358</v>
      </c>
      <c r="E428" s="4" t="s">
        <v>519</v>
      </c>
      <c r="F428" s="9" t="s">
        <v>520</v>
      </c>
      <c r="G428" s="12" t="n">
        <v>3</v>
      </c>
      <c r="H428" s="12" t="n">
        <v>3</v>
      </c>
      <c r="I428" s="15" t="n">
        <f aca="false">G428+H428</f>
        <v>6</v>
      </c>
      <c r="J428" s="3" t="str">
        <f aca="false">IF(H428=9,IF(G428=9,"즉시 착수",IF(G428=3,"표준화 병행","선결 과제")),IF(H428=3,IF(G428=1,"보류","2단계 확장"),IF(G428=1,"제외","여력 시 수집")))</f>
        <v>2단계 확장</v>
      </c>
    </row>
    <row r="429" customFormat="false" ht="15" hidden="false" customHeight="false" outlineLevel="0" collapsed="false">
      <c r="A429" s="3" t="n">
        <v>428</v>
      </c>
      <c r="B429" s="3" t="s">
        <v>471</v>
      </c>
      <c r="C429" s="4" t="s">
        <v>472</v>
      </c>
      <c r="D429" s="5" t="s">
        <v>358</v>
      </c>
      <c r="E429" s="4" t="s">
        <v>519</v>
      </c>
      <c r="F429" s="9" t="s">
        <v>521</v>
      </c>
      <c r="G429" s="12" t="n">
        <v>3</v>
      </c>
      <c r="H429" s="12" t="n">
        <v>3</v>
      </c>
      <c r="I429" s="15" t="n">
        <f aca="false">G429+H429</f>
        <v>6</v>
      </c>
      <c r="J429" s="3" t="str">
        <f aca="false">IF(H429=9,IF(G429=9,"즉시 착수",IF(G429=3,"표준화 병행","선결 과제")),IF(H429=3,IF(G429=1,"보류","2단계 확장"),IF(G429=1,"제외","여력 시 수집")))</f>
        <v>2단계 확장</v>
      </c>
    </row>
    <row r="430" customFormat="false" ht="15" hidden="false" customHeight="false" outlineLevel="0" collapsed="false">
      <c r="A430" s="3" t="n">
        <v>429</v>
      </c>
      <c r="B430" s="3" t="s">
        <v>471</v>
      </c>
      <c r="C430" s="4" t="s">
        <v>472</v>
      </c>
      <c r="D430" s="5" t="s">
        <v>358</v>
      </c>
      <c r="E430" s="4" t="s">
        <v>519</v>
      </c>
      <c r="F430" s="9" t="s">
        <v>522</v>
      </c>
      <c r="G430" s="12" t="n">
        <v>3</v>
      </c>
      <c r="H430" s="12" t="n">
        <v>3</v>
      </c>
      <c r="I430" s="15" t="n">
        <f aca="false">G430+H430</f>
        <v>6</v>
      </c>
      <c r="J430" s="3" t="str">
        <f aca="false">IF(H430=9,IF(G430=9,"즉시 착수",IF(G430=3,"표준화 병행","선결 과제")),IF(H430=3,IF(G430=1,"보류","2단계 확장"),IF(G430=1,"제외","여력 시 수집")))</f>
        <v>2단계 확장</v>
      </c>
    </row>
    <row r="431" customFormat="false" ht="15" hidden="false" customHeight="false" outlineLevel="0" collapsed="false">
      <c r="A431" s="3" t="n">
        <v>430</v>
      </c>
      <c r="B431" s="3" t="s">
        <v>471</v>
      </c>
      <c r="C431" s="4" t="s">
        <v>472</v>
      </c>
      <c r="D431" s="5" t="s">
        <v>358</v>
      </c>
      <c r="E431" s="4" t="s">
        <v>519</v>
      </c>
      <c r="F431" s="9" t="s">
        <v>523</v>
      </c>
      <c r="G431" s="12" t="n">
        <v>3</v>
      </c>
      <c r="H431" s="12" t="n">
        <v>3</v>
      </c>
      <c r="I431" s="15" t="n">
        <f aca="false">G431+H431</f>
        <v>6</v>
      </c>
      <c r="J431" s="3" t="str">
        <f aca="false">IF(H431=9,IF(G431=9,"즉시 착수",IF(G431=3,"표준화 병행","선결 과제")),IF(H431=3,IF(G431=1,"보류","2단계 확장"),IF(G431=1,"제외","여력 시 수집")))</f>
        <v>2단계 확장</v>
      </c>
    </row>
    <row r="432" customFormat="false" ht="15" hidden="false" customHeight="false" outlineLevel="0" collapsed="false">
      <c r="A432" s="3" t="n">
        <v>431</v>
      </c>
      <c r="B432" s="3" t="s">
        <v>471</v>
      </c>
      <c r="C432" s="4" t="s">
        <v>472</v>
      </c>
      <c r="D432" s="5" t="s">
        <v>358</v>
      </c>
      <c r="E432" s="4" t="s">
        <v>519</v>
      </c>
      <c r="F432" s="9" t="s">
        <v>524</v>
      </c>
      <c r="G432" s="12" t="n">
        <v>3</v>
      </c>
      <c r="H432" s="12" t="n">
        <v>3</v>
      </c>
      <c r="I432" s="15" t="n">
        <f aca="false">G432+H432</f>
        <v>6</v>
      </c>
      <c r="J432" s="3" t="str">
        <f aca="false">IF(H432=9,IF(G432=9,"즉시 착수",IF(G432=3,"표준화 병행","선결 과제")),IF(H432=3,IF(G432=1,"보류","2단계 확장"),IF(G432=1,"제외","여력 시 수집")))</f>
        <v>2단계 확장</v>
      </c>
    </row>
    <row r="433" customFormat="false" ht="15" hidden="false" customHeight="false" outlineLevel="0" collapsed="false">
      <c r="A433" s="3" t="n">
        <v>432</v>
      </c>
      <c r="B433" s="3" t="s">
        <v>471</v>
      </c>
      <c r="C433" s="4" t="s">
        <v>472</v>
      </c>
      <c r="D433" s="5" t="s">
        <v>358</v>
      </c>
      <c r="E433" s="4" t="s">
        <v>519</v>
      </c>
      <c r="F433" s="9" t="s">
        <v>525</v>
      </c>
      <c r="G433" s="10" t="n">
        <v>1</v>
      </c>
      <c r="H433" s="10" t="n">
        <v>1</v>
      </c>
      <c r="I433" s="16" t="n">
        <f aca="false">G433+H433</f>
        <v>2</v>
      </c>
      <c r="J433" s="3" t="str">
        <f aca="false">IF(H433=9,IF(G433=9,"즉시 착수",IF(G433=3,"표준화 병행","선결 과제")),IF(H433=3,IF(G433=1,"보류","2단계 확장"),IF(G433=1,"제외","여력 시 수집")))</f>
        <v>제외</v>
      </c>
    </row>
    <row r="434" customFormat="false" ht="15" hidden="false" customHeight="false" outlineLevel="0" collapsed="false">
      <c r="A434" s="3" t="n">
        <v>433</v>
      </c>
      <c r="B434" s="3" t="s">
        <v>526</v>
      </c>
      <c r="C434" s="4" t="s">
        <v>527</v>
      </c>
      <c r="D434" s="5" t="s">
        <v>528</v>
      </c>
      <c r="E434" s="4" t="s">
        <v>529</v>
      </c>
      <c r="F434" s="9" t="s">
        <v>530</v>
      </c>
      <c r="G434" s="7" t="n">
        <v>9</v>
      </c>
      <c r="H434" s="7" t="n">
        <v>9</v>
      </c>
      <c r="I434" s="8" t="n">
        <f aca="false">G434+H434</f>
        <v>18</v>
      </c>
      <c r="J434" s="3" t="str">
        <f aca="false">IF(H434=9,IF(G434=9,"즉시 착수",IF(G434=3,"표준화 병행","선결 과제")),IF(H434=3,IF(G434=1,"보류","2단계 확장"),IF(G434=1,"제외","여력 시 수집")))</f>
        <v>즉시 착수</v>
      </c>
    </row>
    <row r="435" customFormat="false" ht="15" hidden="false" customHeight="false" outlineLevel="0" collapsed="false">
      <c r="A435" s="3" t="n">
        <v>434</v>
      </c>
      <c r="B435" s="3" t="s">
        <v>526</v>
      </c>
      <c r="C435" s="4" t="s">
        <v>527</v>
      </c>
      <c r="D435" s="5" t="s">
        <v>528</v>
      </c>
      <c r="E435" s="4" t="s">
        <v>529</v>
      </c>
      <c r="F435" s="9" t="s">
        <v>531</v>
      </c>
      <c r="G435" s="7" t="n">
        <v>9</v>
      </c>
      <c r="H435" s="7" t="n">
        <v>9</v>
      </c>
      <c r="I435" s="8" t="n">
        <f aca="false">G435+H435</f>
        <v>18</v>
      </c>
      <c r="J435" s="3" t="str">
        <f aca="false">IF(H435=9,IF(G435=9,"즉시 착수",IF(G435=3,"표준화 병행","선결 과제")),IF(H435=3,IF(G435=1,"보류","2단계 확장"),IF(G435=1,"제외","여력 시 수집")))</f>
        <v>즉시 착수</v>
      </c>
    </row>
    <row r="436" customFormat="false" ht="15" hidden="false" customHeight="false" outlineLevel="0" collapsed="false">
      <c r="A436" s="3" t="n">
        <v>435</v>
      </c>
      <c r="B436" s="3" t="s">
        <v>526</v>
      </c>
      <c r="C436" s="4" t="s">
        <v>527</v>
      </c>
      <c r="D436" s="5" t="s">
        <v>528</v>
      </c>
      <c r="E436" s="4" t="s">
        <v>529</v>
      </c>
      <c r="F436" s="9" t="s">
        <v>532</v>
      </c>
      <c r="G436" s="7" t="n">
        <v>9</v>
      </c>
      <c r="H436" s="7" t="n">
        <v>9</v>
      </c>
      <c r="I436" s="8" t="n">
        <f aca="false">G436+H436</f>
        <v>18</v>
      </c>
      <c r="J436" s="3" t="str">
        <f aca="false">IF(H436=9,IF(G436=9,"즉시 착수",IF(G436=3,"표준화 병행","선결 과제")),IF(H436=3,IF(G436=1,"보류","2단계 확장"),IF(G436=1,"제외","여력 시 수집")))</f>
        <v>즉시 착수</v>
      </c>
    </row>
    <row r="437" customFormat="false" ht="15" hidden="false" customHeight="false" outlineLevel="0" collapsed="false">
      <c r="A437" s="3" t="n">
        <v>436</v>
      </c>
      <c r="B437" s="3" t="s">
        <v>526</v>
      </c>
      <c r="C437" s="4" t="s">
        <v>527</v>
      </c>
      <c r="D437" s="5" t="s">
        <v>528</v>
      </c>
      <c r="E437" s="4" t="s">
        <v>529</v>
      </c>
      <c r="F437" s="9" t="s">
        <v>533</v>
      </c>
      <c r="G437" s="7" t="n">
        <v>9</v>
      </c>
      <c r="H437" s="7" t="n">
        <v>9</v>
      </c>
      <c r="I437" s="8" t="n">
        <f aca="false">G437+H437</f>
        <v>18</v>
      </c>
      <c r="J437" s="3" t="str">
        <f aca="false">IF(H437=9,IF(G437=9,"즉시 착수",IF(G437=3,"표준화 병행","선결 과제")),IF(H437=3,IF(G437=1,"보류","2단계 확장"),IF(G437=1,"제외","여력 시 수집")))</f>
        <v>즉시 착수</v>
      </c>
    </row>
    <row r="438" customFormat="false" ht="15" hidden="false" customHeight="false" outlineLevel="0" collapsed="false">
      <c r="A438" s="3" t="n">
        <v>437</v>
      </c>
      <c r="B438" s="3" t="s">
        <v>526</v>
      </c>
      <c r="C438" s="4" t="s">
        <v>527</v>
      </c>
      <c r="D438" s="5" t="s">
        <v>528</v>
      </c>
      <c r="E438" s="4" t="s">
        <v>529</v>
      </c>
      <c r="F438" s="9" t="s">
        <v>534</v>
      </c>
      <c r="G438" s="7" t="n">
        <v>9</v>
      </c>
      <c r="H438" s="7" t="n">
        <v>9</v>
      </c>
      <c r="I438" s="8" t="n">
        <f aca="false">G438+H438</f>
        <v>18</v>
      </c>
      <c r="J438" s="3" t="str">
        <f aca="false">IF(H438=9,IF(G438=9,"즉시 착수",IF(G438=3,"표준화 병행","선결 과제")),IF(H438=3,IF(G438=1,"보류","2단계 확장"),IF(G438=1,"제외","여력 시 수집")))</f>
        <v>즉시 착수</v>
      </c>
    </row>
    <row r="439" customFormat="false" ht="15" hidden="false" customHeight="false" outlineLevel="0" collapsed="false">
      <c r="A439" s="3" t="n">
        <v>438</v>
      </c>
      <c r="B439" s="3" t="s">
        <v>526</v>
      </c>
      <c r="C439" s="4" t="s">
        <v>527</v>
      </c>
      <c r="D439" s="5" t="s">
        <v>528</v>
      </c>
      <c r="E439" s="4" t="s">
        <v>529</v>
      </c>
      <c r="F439" s="9" t="s">
        <v>535</v>
      </c>
      <c r="G439" s="7" t="n">
        <v>9</v>
      </c>
      <c r="H439" s="12" t="n">
        <v>3</v>
      </c>
      <c r="I439" s="13" t="n">
        <f aca="false">G439+H439</f>
        <v>12</v>
      </c>
      <c r="J439" s="3" t="str">
        <f aca="false">IF(H439=9,IF(G439=9,"즉시 착수",IF(G439=3,"표준화 병행","선결 과제")),IF(H439=3,IF(G439=1,"보류","2단계 확장"),IF(G439=1,"제외","여력 시 수집")))</f>
        <v>2단계 확장</v>
      </c>
    </row>
    <row r="440" customFormat="false" ht="15" hidden="false" customHeight="false" outlineLevel="0" collapsed="false">
      <c r="A440" s="3" t="n">
        <v>439</v>
      </c>
      <c r="B440" s="3" t="s">
        <v>526</v>
      </c>
      <c r="C440" s="4" t="s">
        <v>527</v>
      </c>
      <c r="D440" s="5" t="s">
        <v>528</v>
      </c>
      <c r="E440" s="4" t="s">
        <v>536</v>
      </c>
      <c r="F440" s="9" t="s">
        <v>537</v>
      </c>
      <c r="G440" s="7" t="n">
        <v>9</v>
      </c>
      <c r="H440" s="7" t="n">
        <v>9</v>
      </c>
      <c r="I440" s="8" t="n">
        <f aca="false">G440+H440</f>
        <v>18</v>
      </c>
      <c r="J440" s="3" t="str">
        <f aca="false">IF(H440=9,IF(G440=9,"즉시 착수",IF(G440=3,"표준화 병행","선결 과제")),IF(H440=3,IF(G440=1,"보류","2단계 확장"),IF(G440=1,"제외","여력 시 수집")))</f>
        <v>즉시 착수</v>
      </c>
    </row>
    <row r="441" customFormat="false" ht="15" hidden="false" customHeight="false" outlineLevel="0" collapsed="false">
      <c r="A441" s="3" t="n">
        <v>440</v>
      </c>
      <c r="B441" s="3" t="s">
        <v>526</v>
      </c>
      <c r="C441" s="4" t="s">
        <v>527</v>
      </c>
      <c r="D441" s="5" t="s">
        <v>528</v>
      </c>
      <c r="E441" s="4" t="s">
        <v>536</v>
      </c>
      <c r="F441" s="9" t="s">
        <v>538</v>
      </c>
      <c r="G441" s="7" t="n">
        <v>9</v>
      </c>
      <c r="H441" s="7" t="n">
        <v>9</v>
      </c>
      <c r="I441" s="8" t="n">
        <f aca="false">G441+H441</f>
        <v>18</v>
      </c>
      <c r="J441" s="3" t="str">
        <f aca="false">IF(H441=9,IF(G441=9,"즉시 착수",IF(G441=3,"표준화 병행","선결 과제")),IF(H441=3,IF(G441=1,"보류","2단계 확장"),IF(G441=1,"제외","여력 시 수집")))</f>
        <v>즉시 착수</v>
      </c>
    </row>
    <row r="442" customFormat="false" ht="15" hidden="false" customHeight="false" outlineLevel="0" collapsed="false">
      <c r="A442" s="3" t="n">
        <v>441</v>
      </c>
      <c r="B442" s="3" t="s">
        <v>526</v>
      </c>
      <c r="C442" s="4" t="s">
        <v>527</v>
      </c>
      <c r="D442" s="5" t="s">
        <v>528</v>
      </c>
      <c r="E442" s="4" t="s">
        <v>536</v>
      </c>
      <c r="F442" s="9" t="s">
        <v>539</v>
      </c>
      <c r="G442" s="7" t="n">
        <v>9</v>
      </c>
      <c r="H442" s="7" t="n">
        <v>9</v>
      </c>
      <c r="I442" s="8" t="n">
        <f aca="false">G442+H442</f>
        <v>18</v>
      </c>
      <c r="J442" s="3" t="str">
        <f aca="false">IF(H442=9,IF(G442=9,"즉시 착수",IF(G442=3,"표준화 병행","선결 과제")),IF(H442=3,IF(G442=1,"보류","2단계 확장"),IF(G442=1,"제외","여력 시 수집")))</f>
        <v>즉시 착수</v>
      </c>
    </row>
    <row r="443" customFormat="false" ht="15" hidden="false" customHeight="false" outlineLevel="0" collapsed="false">
      <c r="A443" s="3" t="n">
        <v>442</v>
      </c>
      <c r="B443" s="3" t="s">
        <v>526</v>
      </c>
      <c r="C443" s="4" t="s">
        <v>527</v>
      </c>
      <c r="D443" s="5" t="s">
        <v>528</v>
      </c>
      <c r="E443" s="4" t="s">
        <v>536</v>
      </c>
      <c r="F443" s="9" t="s">
        <v>540</v>
      </c>
      <c r="G443" s="7" t="n">
        <v>9</v>
      </c>
      <c r="H443" s="7" t="n">
        <v>9</v>
      </c>
      <c r="I443" s="8" t="n">
        <f aca="false">G443+H443</f>
        <v>18</v>
      </c>
      <c r="J443" s="3" t="str">
        <f aca="false">IF(H443=9,IF(G443=9,"즉시 착수",IF(G443=3,"표준화 병행","선결 과제")),IF(H443=3,IF(G443=1,"보류","2단계 확장"),IF(G443=1,"제외","여력 시 수집")))</f>
        <v>즉시 착수</v>
      </c>
    </row>
    <row r="444" customFormat="false" ht="15" hidden="false" customHeight="false" outlineLevel="0" collapsed="false">
      <c r="A444" s="3" t="n">
        <v>443</v>
      </c>
      <c r="B444" s="3" t="s">
        <v>526</v>
      </c>
      <c r="C444" s="4" t="s">
        <v>527</v>
      </c>
      <c r="D444" s="5" t="s">
        <v>528</v>
      </c>
      <c r="E444" s="4" t="s">
        <v>536</v>
      </c>
      <c r="F444" s="9" t="s">
        <v>541</v>
      </c>
      <c r="G444" s="7" t="n">
        <v>9</v>
      </c>
      <c r="H444" s="7" t="n">
        <v>9</v>
      </c>
      <c r="I444" s="8" t="n">
        <f aca="false">G444+H444</f>
        <v>18</v>
      </c>
      <c r="J444" s="3" t="str">
        <f aca="false">IF(H444=9,IF(G444=9,"즉시 착수",IF(G444=3,"표준화 병행","선결 과제")),IF(H444=3,IF(G444=1,"보류","2단계 확장"),IF(G444=1,"제외","여력 시 수집")))</f>
        <v>즉시 착수</v>
      </c>
    </row>
    <row r="445" customFormat="false" ht="15" hidden="false" customHeight="false" outlineLevel="0" collapsed="false">
      <c r="A445" s="3" t="n">
        <v>444</v>
      </c>
      <c r="B445" s="3" t="s">
        <v>526</v>
      </c>
      <c r="C445" s="4" t="s">
        <v>527</v>
      </c>
      <c r="D445" s="5" t="s">
        <v>528</v>
      </c>
      <c r="E445" s="4" t="s">
        <v>536</v>
      </c>
      <c r="F445" s="9" t="s">
        <v>542</v>
      </c>
      <c r="G445" s="7" t="n">
        <v>9</v>
      </c>
      <c r="H445" s="7" t="n">
        <v>9</v>
      </c>
      <c r="I445" s="8" t="n">
        <f aca="false">G445+H445</f>
        <v>18</v>
      </c>
      <c r="J445" s="3" t="str">
        <f aca="false">IF(H445=9,IF(G445=9,"즉시 착수",IF(G445=3,"표준화 병행","선결 과제")),IF(H445=3,IF(G445=1,"보류","2단계 확장"),IF(G445=1,"제외","여력 시 수집")))</f>
        <v>즉시 착수</v>
      </c>
    </row>
    <row r="446" customFormat="false" ht="15" hidden="false" customHeight="false" outlineLevel="0" collapsed="false">
      <c r="A446" s="3" t="n">
        <v>445</v>
      </c>
      <c r="B446" s="3" t="s">
        <v>526</v>
      </c>
      <c r="C446" s="4" t="s">
        <v>527</v>
      </c>
      <c r="D446" s="5" t="s">
        <v>528</v>
      </c>
      <c r="E446" s="4" t="s">
        <v>543</v>
      </c>
      <c r="F446" s="9" t="s">
        <v>544</v>
      </c>
      <c r="G446" s="7" t="n">
        <v>9</v>
      </c>
      <c r="H446" s="7" t="n">
        <v>9</v>
      </c>
      <c r="I446" s="8" t="n">
        <f aca="false">G446+H446</f>
        <v>18</v>
      </c>
      <c r="J446" s="3" t="str">
        <f aca="false">IF(H446=9,IF(G446=9,"즉시 착수",IF(G446=3,"표준화 병행","선결 과제")),IF(H446=3,IF(G446=1,"보류","2단계 확장"),IF(G446=1,"제외","여력 시 수집")))</f>
        <v>즉시 착수</v>
      </c>
    </row>
    <row r="447" customFormat="false" ht="15" hidden="false" customHeight="false" outlineLevel="0" collapsed="false">
      <c r="A447" s="3" t="n">
        <v>446</v>
      </c>
      <c r="B447" s="3" t="s">
        <v>526</v>
      </c>
      <c r="C447" s="4" t="s">
        <v>527</v>
      </c>
      <c r="D447" s="5" t="s">
        <v>528</v>
      </c>
      <c r="E447" s="4" t="s">
        <v>543</v>
      </c>
      <c r="F447" s="9" t="s">
        <v>545</v>
      </c>
      <c r="G447" s="12" t="n">
        <v>3</v>
      </c>
      <c r="H447" s="7" t="n">
        <v>9</v>
      </c>
      <c r="I447" s="13" t="n">
        <f aca="false">G447+H447</f>
        <v>12</v>
      </c>
      <c r="J447" s="3" t="str">
        <f aca="false">IF(H447=9,IF(G447=9,"즉시 착수",IF(G447=3,"표준화 병행","선결 과제")),IF(H447=3,IF(G447=1,"보류","2단계 확장"),IF(G447=1,"제외","여력 시 수집")))</f>
        <v>표준화 병행</v>
      </c>
    </row>
    <row r="448" customFormat="false" ht="15" hidden="false" customHeight="false" outlineLevel="0" collapsed="false">
      <c r="A448" s="3" t="n">
        <v>447</v>
      </c>
      <c r="B448" s="3" t="s">
        <v>526</v>
      </c>
      <c r="C448" s="4" t="s">
        <v>527</v>
      </c>
      <c r="D448" s="5" t="s">
        <v>528</v>
      </c>
      <c r="E448" s="4" t="s">
        <v>543</v>
      </c>
      <c r="F448" s="9" t="s">
        <v>546</v>
      </c>
      <c r="G448" s="7" t="n">
        <v>9</v>
      </c>
      <c r="H448" s="7" t="n">
        <v>9</v>
      </c>
      <c r="I448" s="8" t="n">
        <f aca="false">G448+H448</f>
        <v>18</v>
      </c>
      <c r="J448" s="3" t="str">
        <f aca="false">IF(H448=9,IF(G448=9,"즉시 착수",IF(G448=3,"표준화 병행","선결 과제")),IF(H448=3,IF(G448=1,"보류","2단계 확장"),IF(G448=1,"제외","여력 시 수집")))</f>
        <v>즉시 착수</v>
      </c>
    </row>
    <row r="449" customFormat="false" ht="15" hidden="false" customHeight="false" outlineLevel="0" collapsed="false">
      <c r="A449" s="3" t="n">
        <v>448</v>
      </c>
      <c r="B449" s="3" t="s">
        <v>526</v>
      </c>
      <c r="C449" s="4" t="s">
        <v>527</v>
      </c>
      <c r="D449" s="5" t="s">
        <v>528</v>
      </c>
      <c r="E449" s="4" t="s">
        <v>543</v>
      </c>
      <c r="F449" s="9" t="s">
        <v>547</v>
      </c>
      <c r="G449" s="12" t="n">
        <v>3</v>
      </c>
      <c r="H449" s="7" t="n">
        <v>9</v>
      </c>
      <c r="I449" s="13" t="n">
        <f aca="false">G449+H449</f>
        <v>12</v>
      </c>
      <c r="J449" s="3" t="str">
        <f aca="false">IF(H449=9,IF(G449=9,"즉시 착수",IF(G449=3,"표준화 병행","선결 과제")),IF(H449=3,IF(G449=1,"보류","2단계 확장"),IF(G449=1,"제외","여력 시 수집")))</f>
        <v>표준화 병행</v>
      </c>
    </row>
    <row r="450" customFormat="false" ht="15" hidden="false" customHeight="false" outlineLevel="0" collapsed="false">
      <c r="A450" s="3" t="n">
        <v>449</v>
      </c>
      <c r="B450" s="3" t="s">
        <v>526</v>
      </c>
      <c r="C450" s="4" t="s">
        <v>527</v>
      </c>
      <c r="D450" s="5" t="s">
        <v>528</v>
      </c>
      <c r="E450" s="4" t="s">
        <v>543</v>
      </c>
      <c r="F450" s="9" t="s">
        <v>548</v>
      </c>
      <c r="G450" s="10" t="n">
        <v>1</v>
      </c>
      <c r="H450" s="7" t="n">
        <v>9</v>
      </c>
      <c r="I450" s="11" t="n">
        <f aca="false">G450+H450</f>
        <v>10</v>
      </c>
      <c r="J450" s="3" t="str">
        <f aca="false">IF(H450=9,IF(G450=9,"즉시 착수",IF(G450=3,"표준화 병행","선결 과제")),IF(H450=3,IF(G450=1,"보류","2단계 확장"),IF(G450=1,"제외","여력 시 수집")))</f>
        <v>선결 과제</v>
      </c>
    </row>
    <row r="451" customFormat="false" ht="15" hidden="false" customHeight="false" outlineLevel="0" collapsed="false">
      <c r="A451" s="3" t="n">
        <v>450</v>
      </c>
      <c r="B451" s="3" t="s">
        <v>526</v>
      </c>
      <c r="C451" s="4" t="s">
        <v>527</v>
      </c>
      <c r="D451" s="5" t="s">
        <v>528</v>
      </c>
      <c r="E451" s="4" t="s">
        <v>543</v>
      </c>
      <c r="F451" s="9" t="s">
        <v>549</v>
      </c>
      <c r="G451" s="10" t="n">
        <v>1</v>
      </c>
      <c r="H451" s="7" t="n">
        <v>9</v>
      </c>
      <c r="I451" s="11" t="n">
        <f aca="false">G451+H451</f>
        <v>10</v>
      </c>
      <c r="J451" s="3" t="str">
        <f aca="false">IF(H451=9,IF(G451=9,"즉시 착수",IF(G451=3,"표준화 병행","선결 과제")),IF(H451=3,IF(G451=1,"보류","2단계 확장"),IF(G451=1,"제외","여력 시 수집")))</f>
        <v>선결 과제</v>
      </c>
    </row>
    <row r="452" customFormat="false" ht="15" hidden="false" customHeight="false" outlineLevel="0" collapsed="false">
      <c r="A452" s="3" t="n">
        <v>451</v>
      </c>
      <c r="B452" s="3" t="s">
        <v>526</v>
      </c>
      <c r="C452" s="4" t="s">
        <v>527</v>
      </c>
      <c r="D452" s="5" t="s">
        <v>528</v>
      </c>
      <c r="E452" s="4" t="s">
        <v>550</v>
      </c>
      <c r="F452" s="9" t="s">
        <v>551</v>
      </c>
      <c r="G452" s="12" t="n">
        <v>3</v>
      </c>
      <c r="H452" s="12" t="n">
        <v>3</v>
      </c>
      <c r="I452" s="15" t="n">
        <f aca="false">G452+H452</f>
        <v>6</v>
      </c>
      <c r="J452" s="3" t="str">
        <f aca="false">IF(H452=9,IF(G452=9,"즉시 착수",IF(G452=3,"표준화 병행","선결 과제")),IF(H452=3,IF(G452=1,"보류","2단계 확장"),IF(G452=1,"제외","여력 시 수집")))</f>
        <v>2단계 확장</v>
      </c>
    </row>
    <row r="453" customFormat="false" ht="15" hidden="false" customHeight="false" outlineLevel="0" collapsed="false">
      <c r="A453" s="3" t="n">
        <v>452</v>
      </c>
      <c r="B453" s="3" t="s">
        <v>526</v>
      </c>
      <c r="C453" s="4" t="s">
        <v>527</v>
      </c>
      <c r="D453" s="5" t="s">
        <v>528</v>
      </c>
      <c r="E453" s="4" t="s">
        <v>550</v>
      </c>
      <c r="F453" s="9" t="s">
        <v>552</v>
      </c>
      <c r="G453" s="12" t="n">
        <v>3</v>
      </c>
      <c r="H453" s="12" t="n">
        <v>3</v>
      </c>
      <c r="I453" s="15" t="n">
        <f aca="false">G453+H453</f>
        <v>6</v>
      </c>
      <c r="J453" s="3" t="str">
        <f aca="false">IF(H453=9,IF(G453=9,"즉시 착수",IF(G453=3,"표준화 병행","선결 과제")),IF(H453=3,IF(G453=1,"보류","2단계 확장"),IF(G453=1,"제외","여력 시 수집")))</f>
        <v>2단계 확장</v>
      </c>
    </row>
    <row r="454" customFormat="false" ht="15" hidden="false" customHeight="false" outlineLevel="0" collapsed="false">
      <c r="A454" s="3" t="n">
        <v>453</v>
      </c>
      <c r="B454" s="3" t="s">
        <v>526</v>
      </c>
      <c r="C454" s="4" t="s">
        <v>527</v>
      </c>
      <c r="D454" s="5" t="s">
        <v>528</v>
      </c>
      <c r="E454" s="4" t="s">
        <v>550</v>
      </c>
      <c r="F454" s="9" t="s">
        <v>553</v>
      </c>
      <c r="G454" s="12" t="n">
        <v>3</v>
      </c>
      <c r="H454" s="12" t="n">
        <v>3</v>
      </c>
      <c r="I454" s="15" t="n">
        <f aca="false">G454+H454</f>
        <v>6</v>
      </c>
      <c r="J454" s="3" t="str">
        <f aca="false">IF(H454=9,IF(G454=9,"즉시 착수",IF(G454=3,"표준화 병행","선결 과제")),IF(H454=3,IF(G454=1,"보류","2단계 확장"),IF(G454=1,"제외","여력 시 수집")))</f>
        <v>2단계 확장</v>
      </c>
    </row>
    <row r="455" customFormat="false" ht="15" hidden="false" customHeight="false" outlineLevel="0" collapsed="false">
      <c r="A455" s="3" t="n">
        <v>454</v>
      </c>
      <c r="B455" s="3" t="s">
        <v>526</v>
      </c>
      <c r="C455" s="4" t="s">
        <v>527</v>
      </c>
      <c r="D455" s="5" t="s">
        <v>528</v>
      </c>
      <c r="E455" s="4" t="s">
        <v>550</v>
      </c>
      <c r="F455" s="9" t="s">
        <v>554</v>
      </c>
      <c r="G455" s="12" t="n">
        <v>3</v>
      </c>
      <c r="H455" s="12" t="n">
        <v>3</v>
      </c>
      <c r="I455" s="15" t="n">
        <f aca="false">G455+H455</f>
        <v>6</v>
      </c>
      <c r="J455" s="3" t="str">
        <f aca="false">IF(H455=9,IF(G455=9,"즉시 착수",IF(G455=3,"표준화 병행","선결 과제")),IF(H455=3,IF(G455=1,"보류","2단계 확장"),IF(G455=1,"제외","여력 시 수집")))</f>
        <v>2단계 확장</v>
      </c>
    </row>
    <row r="456" customFormat="false" ht="15" hidden="false" customHeight="false" outlineLevel="0" collapsed="false">
      <c r="A456" s="3" t="n">
        <v>455</v>
      </c>
      <c r="B456" s="3" t="s">
        <v>526</v>
      </c>
      <c r="C456" s="4" t="s">
        <v>527</v>
      </c>
      <c r="D456" s="5" t="s">
        <v>528</v>
      </c>
      <c r="E456" s="4" t="s">
        <v>550</v>
      </c>
      <c r="F456" s="9" t="s">
        <v>555</v>
      </c>
      <c r="G456" s="12" t="n">
        <v>3</v>
      </c>
      <c r="H456" s="12" t="n">
        <v>3</v>
      </c>
      <c r="I456" s="15" t="n">
        <f aca="false">G456+H456</f>
        <v>6</v>
      </c>
      <c r="J456" s="3" t="str">
        <f aca="false">IF(H456=9,IF(G456=9,"즉시 착수",IF(G456=3,"표준화 병행","선결 과제")),IF(H456=3,IF(G456=1,"보류","2단계 확장"),IF(G456=1,"제외","여력 시 수집")))</f>
        <v>2단계 확장</v>
      </c>
    </row>
    <row r="457" customFormat="false" ht="15" hidden="false" customHeight="false" outlineLevel="0" collapsed="false">
      <c r="A457" s="3" t="n">
        <v>456</v>
      </c>
      <c r="B457" s="3" t="s">
        <v>526</v>
      </c>
      <c r="C457" s="4" t="s">
        <v>527</v>
      </c>
      <c r="D457" s="5" t="s">
        <v>528</v>
      </c>
      <c r="E457" s="4" t="s">
        <v>550</v>
      </c>
      <c r="F457" s="9" t="s">
        <v>556</v>
      </c>
      <c r="G457" s="12" t="n">
        <v>3</v>
      </c>
      <c r="H457" s="12" t="n">
        <v>3</v>
      </c>
      <c r="I457" s="15" t="n">
        <f aca="false">G457+H457</f>
        <v>6</v>
      </c>
      <c r="J457" s="3" t="str">
        <f aca="false">IF(H457=9,IF(G457=9,"즉시 착수",IF(G457=3,"표준화 병행","선결 과제")),IF(H457=3,IF(G457=1,"보류","2단계 확장"),IF(G457=1,"제외","여력 시 수집")))</f>
        <v>2단계 확장</v>
      </c>
    </row>
    <row r="458" customFormat="false" ht="15" hidden="false" customHeight="false" outlineLevel="0" collapsed="false">
      <c r="A458" s="3" t="n">
        <v>457</v>
      </c>
      <c r="B458" s="3" t="s">
        <v>526</v>
      </c>
      <c r="C458" s="4" t="s">
        <v>527</v>
      </c>
      <c r="D458" s="5" t="s">
        <v>528</v>
      </c>
      <c r="E458" s="4" t="s">
        <v>557</v>
      </c>
      <c r="F458" s="9" t="s">
        <v>558</v>
      </c>
      <c r="G458" s="7" t="n">
        <v>9</v>
      </c>
      <c r="H458" s="12" t="n">
        <v>3</v>
      </c>
      <c r="I458" s="13" t="n">
        <f aca="false">G458+H458</f>
        <v>12</v>
      </c>
      <c r="J458" s="3" t="str">
        <f aca="false">IF(H458=9,IF(G458=9,"즉시 착수",IF(G458=3,"표준화 병행","선결 과제")),IF(H458=3,IF(G458=1,"보류","2단계 확장"),IF(G458=1,"제외","여력 시 수집")))</f>
        <v>2단계 확장</v>
      </c>
    </row>
    <row r="459" customFormat="false" ht="15" hidden="false" customHeight="false" outlineLevel="0" collapsed="false">
      <c r="A459" s="3" t="n">
        <v>458</v>
      </c>
      <c r="B459" s="3" t="s">
        <v>526</v>
      </c>
      <c r="C459" s="4" t="s">
        <v>527</v>
      </c>
      <c r="D459" s="5" t="s">
        <v>528</v>
      </c>
      <c r="E459" s="4" t="s">
        <v>557</v>
      </c>
      <c r="F459" s="9" t="s">
        <v>559</v>
      </c>
      <c r="G459" s="12" t="n">
        <v>3</v>
      </c>
      <c r="H459" s="7" t="n">
        <v>9</v>
      </c>
      <c r="I459" s="13" t="n">
        <f aca="false">G459+H459</f>
        <v>12</v>
      </c>
      <c r="J459" s="3" t="str">
        <f aca="false">IF(H459=9,IF(G459=9,"즉시 착수",IF(G459=3,"표준화 병행","선결 과제")),IF(H459=3,IF(G459=1,"보류","2단계 확장"),IF(G459=1,"제외","여력 시 수집")))</f>
        <v>표준화 병행</v>
      </c>
    </row>
    <row r="460" customFormat="false" ht="15" hidden="false" customHeight="false" outlineLevel="0" collapsed="false">
      <c r="A460" s="3" t="n">
        <v>459</v>
      </c>
      <c r="B460" s="3" t="s">
        <v>526</v>
      </c>
      <c r="C460" s="4" t="s">
        <v>527</v>
      </c>
      <c r="D460" s="5" t="s">
        <v>528</v>
      </c>
      <c r="E460" s="4" t="s">
        <v>557</v>
      </c>
      <c r="F460" s="9" t="s">
        <v>560</v>
      </c>
      <c r="G460" s="7" t="n">
        <v>9</v>
      </c>
      <c r="H460" s="7" t="n">
        <v>9</v>
      </c>
      <c r="I460" s="8" t="n">
        <f aca="false">G460+H460</f>
        <v>18</v>
      </c>
      <c r="J460" s="3" t="str">
        <f aca="false">IF(H460=9,IF(G460=9,"즉시 착수",IF(G460=3,"표준화 병행","선결 과제")),IF(H460=3,IF(G460=1,"보류","2단계 확장"),IF(G460=1,"제외","여력 시 수집")))</f>
        <v>즉시 착수</v>
      </c>
    </row>
    <row r="461" customFormat="false" ht="15" hidden="false" customHeight="false" outlineLevel="0" collapsed="false">
      <c r="A461" s="3" t="n">
        <v>460</v>
      </c>
      <c r="B461" s="3" t="s">
        <v>526</v>
      </c>
      <c r="C461" s="4" t="s">
        <v>527</v>
      </c>
      <c r="D461" s="5" t="s">
        <v>528</v>
      </c>
      <c r="E461" s="4" t="s">
        <v>557</v>
      </c>
      <c r="F461" s="6" t="s">
        <v>561</v>
      </c>
      <c r="G461" s="12" t="n">
        <v>3</v>
      </c>
      <c r="H461" s="7" t="n">
        <v>9</v>
      </c>
      <c r="I461" s="13" t="n">
        <f aca="false">G461+H461</f>
        <v>12</v>
      </c>
      <c r="J461" s="3" t="str">
        <f aca="false">IF(H461=9,IF(G461=9,"즉시 착수",IF(G461=3,"표준화 병행","선결 과제")),IF(H461=3,IF(G461=1,"보류","2단계 확장"),IF(G461=1,"제외","여력 시 수집")))</f>
        <v>표준화 병행</v>
      </c>
    </row>
    <row r="462" customFormat="false" ht="15" hidden="false" customHeight="false" outlineLevel="0" collapsed="false">
      <c r="A462" s="3" t="n">
        <v>461</v>
      </c>
      <c r="B462" s="3" t="s">
        <v>526</v>
      </c>
      <c r="C462" s="4" t="s">
        <v>527</v>
      </c>
      <c r="D462" s="5" t="s">
        <v>528</v>
      </c>
      <c r="E462" s="4" t="s">
        <v>557</v>
      </c>
      <c r="F462" s="9" t="s">
        <v>562</v>
      </c>
      <c r="G462" s="12" t="n">
        <v>3</v>
      </c>
      <c r="H462" s="7" t="n">
        <v>9</v>
      </c>
      <c r="I462" s="13" t="n">
        <f aca="false">G462+H462</f>
        <v>12</v>
      </c>
      <c r="J462" s="3" t="str">
        <f aca="false">IF(H462=9,IF(G462=9,"즉시 착수",IF(G462=3,"표준화 병행","선결 과제")),IF(H462=3,IF(G462=1,"보류","2단계 확장"),IF(G462=1,"제외","여력 시 수집")))</f>
        <v>표준화 병행</v>
      </c>
    </row>
    <row r="463" customFormat="false" ht="15" hidden="false" customHeight="false" outlineLevel="0" collapsed="false">
      <c r="A463" s="3" t="n">
        <v>462</v>
      </c>
      <c r="B463" s="3" t="s">
        <v>526</v>
      </c>
      <c r="C463" s="4" t="s">
        <v>527</v>
      </c>
      <c r="D463" s="5" t="s">
        <v>528</v>
      </c>
      <c r="E463" s="4" t="s">
        <v>557</v>
      </c>
      <c r="F463" s="9" t="s">
        <v>563</v>
      </c>
      <c r="G463" s="10" t="n">
        <v>1</v>
      </c>
      <c r="H463" s="7" t="n">
        <v>9</v>
      </c>
      <c r="I463" s="11" t="n">
        <f aca="false">G463+H463</f>
        <v>10</v>
      </c>
      <c r="J463" s="3" t="str">
        <f aca="false">IF(H463=9,IF(G463=9,"즉시 착수",IF(G463=3,"표준화 병행","선결 과제")),IF(H463=3,IF(G463=1,"보류","2단계 확장"),IF(G463=1,"제외","여력 시 수집")))</f>
        <v>선결 과제</v>
      </c>
    </row>
    <row r="464" customFormat="false" ht="15" hidden="false" customHeight="false" outlineLevel="0" collapsed="false">
      <c r="A464" s="3" t="n">
        <v>463</v>
      </c>
      <c r="B464" s="3" t="s">
        <v>526</v>
      </c>
      <c r="C464" s="4" t="s">
        <v>527</v>
      </c>
      <c r="D464" s="5" t="s">
        <v>528</v>
      </c>
      <c r="E464" s="4" t="s">
        <v>564</v>
      </c>
      <c r="F464" s="9" t="s">
        <v>565</v>
      </c>
      <c r="G464" s="10" t="n">
        <v>1</v>
      </c>
      <c r="H464" s="7" t="n">
        <v>9</v>
      </c>
      <c r="I464" s="11" t="n">
        <f aca="false">G464+H464</f>
        <v>10</v>
      </c>
      <c r="J464" s="3" t="str">
        <f aca="false">IF(H464=9,IF(G464=9,"즉시 착수",IF(G464=3,"표준화 병행","선결 과제")),IF(H464=3,IF(G464=1,"보류","2단계 확장"),IF(G464=1,"제외","여력 시 수집")))</f>
        <v>선결 과제</v>
      </c>
    </row>
    <row r="465" customFormat="false" ht="15" hidden="false" customHeight="false" outlineLevel="0" collapsed="false">
      <c r="A465" s="3" t="n">
        <v>464</v>
      </c>
      <c r="B465" s="3" t="s">
        <v>526</v>
      </c>
      <c r="C465" s="4" t="s">
        <v>527</v>
      </c>
      <c r="D465" s="5" t="s">
        <v>528</v>
      </c>
      <c r="E465" s="4" t="s">
        <v>564</v>
      </c>
      <c r="F465" s="9" t="s">
        <v>566</v>
      </c>
      <c r="G465" s="10" t="n">
        <v>1</v>
      </c>
      <c r="H465" s="7" t="n">
        <v>9</v>
      </c>
      <c r="I465" s="11" t="n">
        <f aca="false">G465+H465</f>
        <v>10</v>
      </c>
      <c r="J465" s="3" t="str">
        <f aca="false">IF(H465=9,IF(G465=9,"즉시 착수",IF(G465=3,"표준화 병행","선결 과제")),IF(H465=3,IF(G465=1,"보류","2단계 확장"),IF(G465=1,"제외","여력 시 수집")))</f>
        <v>선결 과제</v>
      </c>
    </row>
    <row r="466" customFormat="false" ht="15" hidden="false" customHeight="false" outlineLevel="0" collapsed="false">
      <c r="A466" s="3" t="n">
        <v>465</v>
      </c>
      <c r="B466" s="3" t="s">
        <v>526</v>
      </c>
      <c r="C466" s="4" t="s">
        <v>527</v>
      </c>
      <c r="D466" s="5" t="s">
        <v>528</v>
      </c>
      <c r="E466" s="4" t="s">
        <v>564</v>
      </c>
      <c r="F466" s="9" t="s">
        <v>567</v>
      </c>
      <c r="G466" s="12" t="n">
        <v>3</v>
      </c>
      <c r="H466" s="7" t="n">
        <v>9</v>
      </c>
      <c r="I466" s="13" t="n">
        <f aca="false">G466+H466</f>
        <v>12</v>
      </c>
      <c r="J466" s="3" t="str">
        <f aca="false">IF(H466=9,IF(G466=9,"즉시 착수",IF(G466=3,"표준화 병행","선결 과제")),IF(H466=3,IF(G466=1,"보류","2단계 확장"),IF(G466=1,"제외","여력 시 수집")))</f>
        <v>표준화 병행</v>
      </c>
    </row>
    <row r="467" customFormat="false" ht="15" hidden="false" customHeight="false" outlineLevel="0" collapsed="false">
      <c r="A467" s="3" t="n">
        <v>466</v>
      </c>
      <c r="B467" s="3" t="s">
        <v>526</v>
      </c>
      <c r="C467" s="4" t="s">
        <v>527</v>
      </c>
      <c r="D467" s="5" t="s">
        <v>528</v>
      </c>
      <c r="E467" s="4" t="s">
        <v>564</v>
      </c>
      <c r="F467" s="9" t="s">
        <v>568</v>
      </c>
      <c r="G467" s="10" t="n">
        <v>1</v>
      </c>
      <c r="H467" s="7" t="n">
        <v>9</v>
      </c>
      <c r="I467" s="11" t="n">
        <f aca="false">G467+H467</f>
        <v>10</v>
      </c>
      <c r="J467" s="3" t="str">
        <f aca="false">IF(H467=9,IF(G467=9,"즉시 착수",IF(G467=3,"표준화 병행","선결 과제")),IF(H467=3,IF(G467=1,"보류","2단계 확장"),IF(G467=1,"제외","여력 시 수집")))</f>
        <v>선결 과제</v>
      </c>
    </row>
    <row r="468" customFormat="false" ht="15" hidden="false" customHeight="false" outlineLevel="0" collapsed="false">
      <c r="A468" s="3" t="n">
        <v>467</v>
      </c>
      <c r="B468" s="3" t="s">
        <v>526</v>
      </c>
      <c r="C468" s="4" t="s">
        <v>527</v>
      </c>
      <c r="D468" s="5" t="s">
        <v>528</v>
      </c>
      <c r="E468" s="4" t="s">
        <v>564</v>
      </c>
      <c r="F468" s="9" t="s">
        <v>569</v>
      </c>
      <c r="G468" s="10" t="n">
        <v>1</v>
      </c>
      <c r="H468" s="7" t="n">
        <v>9</v>
      </c>
      <c r="I468" s="11" t="n">
        <f aca="false">G468+H468</f>
        <v>10</v>
      </c>
      <c r="J468" s="3" t="str">
        <f aca="false">IF(H468=9,IF(G468=9,"즉시 착수",IF(G468=3,"표준화 병행","선결 과제")),IF(H468=3,IF(G468=1,"보류","2단계 확장"),IF(G468=1,"제외","여력 시 수집")))</f>
        <v>선결 과제</v>
      </c>
    </row>
    <row r="469" customFormat="false" ht="15" hidden="false" customHeight="false" outlineLevel="0" collapsed="false">
      <c r="A469" s="3" t="n">
        <v>468</v>
      </c>
      <c r="B469" s="3" t="s">
        <v>526</v>
      </c>
      <c r="C469" s="4" t="s">
        <v>527</v>
      </c>
      <c r="D469" s="5" t="s">
        <v>528</v>
      </c>
      <c r="E469" s="4" t="s">
        <v>564</v>
      </c>
      <c r="F469" s="9" t="s">
        <v>570</v>
      </c>
      <c r="G469" s="10" t="n">
        <v>1</v>
      </c>
      <c r="H469" s="7" t="n">
        <v>9</v>
      </c>
      <c r="I469" s="11" t="n">
        <f aca="false">G469+H469</f>
        <v>10</v>
      </c>
      <c r="J469" s="3" t="str">
        <f aca="false">IF(H469=9,IF(G469=9,"즉시 착수",IF(G469=3,"표준화 병행","선결 과제")),IF(H469=3,IF(G469=1,"보류","2단계 확장"),IF(G469=1,"제외","여력 시 수집")))</f>
        <v>선결 과제</v>
      </c>
    </row>
    <row r="470" customFormat="false" ht="15" hidden="false" customHeight="false" outlineLevel="0" collapsed="false">
      <c r="A470" s="3" t="n">
        <v>469</v>
      </c>
      <c r="B470" s="3" t="s">
        <v>526</v>
      </c>
      <c r="C470" s="4" t="s">
        <v>527</v>
      </c>
      <c r="D470" s="5" t="s">
        <v>528</v>
      </c>
      <c r="E470" s="4" t="s">
        <v>571</v>
      </c>
      <c r="F470" s="6" t="s">
        <v>572</v>
      </c>
      <c r="G470" s="7" t="n">
        <v>9</v>
      </c>
      <c r="H470" s="12" t="n">
        <v>3</v>
      </c>
      <c r="I470" s="13" t="n">
        <f aca="false">G470+H470</f>
        <v>12</v>
      </c>
      <c r="J470" s="3" t="str">
        <f aca="false">IF(H470=9,IF(G470=9,"즉시 착수",IF(G470=3,"표준화 병행","선결 과제")),IF(H470=3,IF(G470=1,"보류","2단계 확장"),IF(G470=1,"제외","여력 시 수집")))</f>
        <v>2단계 확장</v>
      </c>
    </row>
    <row r="471" customFormat="false" ht="15" hidden="false" customHeight="false" outlineLevel="0" collapsed="false">
      <c r="A471" s="3" t="n">
        <v>470</v>
      </c>
      <c r="B471" s="3" t="s">
        <v>526</v>
      </c>
      <c r="C471" s="4" t="s">
        <v>527</v>
      </c>
      <c r="D471" s="5" t="s">
        <v>528</v>
      </c>
      <c r="E471" s="4" t="s">
        <v>571</v>
      </c>
      <c r="F471" s="9" t="s">
        <v>573</v>
      </c>
      <c r="G471" s="7" t="n">
        <v>9</v>
      </c>
      <c r="H471" s="12" t="n">
        <v>3</v>
      </c>
      <c r="I471" s="13" t="n">
        <f aca="false">G471+H471</f>
        <v>12</v>
      </c>
      <c r="J471" s="3" t="str">
        <f aca="false">IF(H471=9,IF(G471=9,"즉시 착수",IF(G471=3,"표준화 병행","선결 과제")),IF(H471=3,IF(G471=1,"보류","2단계 확장"),IF(G471=1,"제외","여력 시 수집")))</f>
        <v>2단계 확장</v>
      </c>
    </row>
    <row r="472" customFormat="false" ht="15" hidden="false" customHeight="false" outlineLevel="0" collapsed="false">
      <c r="A472" s="3" t="n">
        <v>471</v>
      </c>
      <c r="B472" s="3" t="s">
        <v>526</v>
      </c>
      <c r="C472" s="4" t="s">
        <v>527</v>
      </c>
      <c r="D472" s="5" t="s">
        <v>528</v>
      </c>
      <c r="E472" s="4" t="s">
        <v>571</v>
      </c>
      <c r="F472" s="9" t="s">
        <v>574</v>
      </c>
      <c r="G472" s="12" t="n">
        <v>3</v>
      </c>
      <c r="H472" s="12" t="n">
        <v>3</v>
      </c>
      <c r="I472" s="15" t="n">
        <f aca="false">G472+H472</f>
        <v>6</v>
      </c>
      <c r="J472" s="3" t="str">
        <f aca="false">IF(H472=9,IF(G472=9,"즉시 착수",IF(G472=3,"표준화 병행","선결 과제")),IF(H472=3,IF(G472=1,"보류","2단계 확장"),IF(G472=1,"제외","여력 시 수집")))</f>
        <v>2단계 확장</v>
      </c>
    </row>
    <row r="473" customFormat="false" ht="15" hidden="false" customHeight="false" outlineLevel="0" collapsed="false">
      <c r="A473" s="3" t="n">
        <v>472</v>
      </c>
      <c r="B473" s="3" t="s">
        <v>526</v>
      </c>
      <c r="C473" s="4" t="s">
        <v>527</v>
      </c>
      <c r="D473" s="5" t="s">
        <v>528</v>
      </c>
      <c r="E473" s="4" t="s">
        <v>571</v>
      </c>
      <c r="F473" s="9" t="s">
        <v>575</v>
      </c>
      <c r="G473" s="12" t="n">
        <v>3</v>
      </c>
      <c r="H473" s="12" t="n">
        <v>3</v>
      </c>
      <c r="I473" s="15" t="n">
        <f aca="false">G473+H473</f>
        <v>6</v>
      </c>
      <c r="J473" s="3" t="str">
        <f aca="false">IF(H473=9,IF(G473=9,"즉시 착수",IF(G473=3,"표준화 병행","선결 과제")),IF(H473=3,IF(G473=1,"보류","2단계 확장"),IF(G473=1,"제외","여력 시 수집")))</f>
        <v>2단계 확장</v>
      </c>
    </row>
    <row r="474" customFormat="false" ht="15" hidden="false" customHeight="false" outlineLevel="0" collapsed="false">
      <c r="A474" s="3" t="n">
        <v>473</v>
      </c>
      <c r="B474" s="3" t="s">
        <v>526</v>
      </c>
      <c r="C474" s="4" t="s">
        <v>527</v>
      </c>
      <c r="D474" s="5" t="s">
        <v>528</v>
      </c>
      <c r="E474" s="4" t="s">
        <v>571</v>
      </c>
      <c r="F474" s="9" t="s">
        <v>576</v>
      </c>
      <c r="G474" s="7" t="n">
        <v>9</v>
      </c>
      <c r="H474" s="7" t="n">
        <v>9</v>
      </c>
      <c r="I474" s="8" t="n">
        <f aca="false">G474+H474</f>
        <v>18</v>
      </c>
      <c r="J474" s="3" t="str">
        <f aca="false">IF(H474=9,IF(G474=9,"즉시 착수",IF(G474=3,"표준화 병행","선결 과제")),IF(H474=3,IF(G474=1,"보류","2단계 확장"),IF(G474=1,"제외","여력 시 수집")))</f>
        <v>즉시 착수</v>
      </c>
    </row>
    <row r="475" customFormat="false" ht="15" hidden="false" customHeight="false" outlineLevel="0" collapsed="false">
      <c r="A475" s="3" t="n">
        <v>474</v>
      </c>
      <c r="B475" s="3" t="s">
        <v>526</v>
      </c>
      <c r="C475" s="4" t="s">
        <v>527</v>
      </c>
      <c r="D475" s="5" t="s">
        <v>528</v>
      </c>
      <c r="E475" s="4" t="s">
        <v>571</v>
      </c>
      <c r="F475" s="6" t="s">
        <v>577</v>
      </c>
      <c r="G475" s="12" t="n">
        <v>3</v>
      </c>
      <c r="H475" s="7" t="n">
        <v>9</v>
      </c>
      <c r="I475" s="13" t="n">
        <f aca="false">G475+H475</f>
        <v>12</v>
      </c>
      <c r="J475" s="3" t="str">
        <f aca="false">IF(H475=9,IF(G475=9,"즉시 착수",IF(G475=3,"표준화 병행","선결 과제")),IF(H475=3,IF(G475=1,"보류","2단계 확장"),IF(G475=1,"제외","여력 시 수집")))</f>
        <v>표준화 병행</v>
      </c>
    </row>
    <row r="476" customFormat="false" ht="15" hidden="false" customHeight="false" outlineLevel="0" collapsed="false">
      <c r="A476" s="3" t="n">
        <v>475</v>
      </c>
      <c r="B476" s="3" t="s">
        <v>526</v>
      </c>
      <c r="C476" s="4" t="s">
        <v>527</v>
      </c>
      <c r="D476" s="5" t="s">
        <v>528</v>
      </c>
      <c r="E476" s="4" t="s">
        <v>578</v>
      </c>
      <c r="F476" s="9" t="s">
        <v>579</v>
      </c>
      <c r="G476" s="7" t="n">
        <v>9</v>
      </c>
      <c r="H476" s="12" t="n">
        <v>3</v>
      </c>
      <c r="I476" s="13" t="n">
        <f aca="false">G476+H476</f>
        <v>12</v>
      </c>
      <c r="J476" s="3" t="str">
        <f aca="false">IF(H476=9,IF(G476=9,"즉시 착수",IF(G476=3,"표준화 병행","선결 과제")),IF(H476=3,IF(G476=1,"보류","2단계 확장"),IF(G476=1,"제외","여력 시 수집")))</f>
        <v>2단계 확장</v>
      </c>
    </row>
    <row r="477" customFormat="false" ht="15" hidden="false" customHeight="false" outlineLevel="0" collapsed="false">
      <c r="A477" s="3" t="n">
        <v>476</v>
      </c>
      <c r="B477" s="3" t="s">
        <v>526</v>
      </c>
      <c r="C477" s="4" t="s">
        <v>527</v>
      </c>
      <c r="D477" s="5" t="s">
        <v>528</v>
      </c>
      <c r="E477" s="4" t="s">
        <v>578</v>
      </c>
      <c r="F477" s="9" t="s">
        <v>580</v>
      </c>
      <c r="G477" s="7" t="n">
        <v>9</v>
      </c>
      <c r="H477" s="10" t="n">
        <v>1</v>
      </c>
      <c r="I477" s="11" t="n">
        <f aca="false">G477+H477</f>
        <v>10</v>
      </c>
      <c r="J477" s="3" t="str">
        <f aca="false">IF(H477=9,IF(G477=9,"즉시 착수",IF(G477=3,"표준화 병행","선결 과제")),IF(H477=3,IF(G477=1,"보류","2단계 확장"),IF(G477=1,"제외","여력 시 수집")))</f>
        <v>여력 시 수집</v>
      </c>
    </row>
    <row r="478" customFormat="false" ht="15" hidden="false" customHeight="false" outlineLevel="0" collapsed="false">
      <c r="A478" s="3" t="n">
        <v>477</v>
      </c>
      <c r="B478" s="3" t="s">
        <v>526</v>
      </c>
      <c r="C478" s="4" t="s">
        <v>527</v>
      </c>
      <c r="D478" s="5" t="s">
        <v>528</v>
      </c>
      <c r="E478" s="4" t="s">
        <v>578</v>
      </c>
      <c r="F478" s="6" t="s">
        <v>581</v>
      </c>
      <c r="G478" s="7" t="n">
        <v>9</v>
      </c>
      <c r="H478" s="12" t="n">
        <v>3</v>
      </c>
      <c r="I478" s="13" t="n">
        <f aca="false">G478+H478</f>
        <v>12</v>
      </c>
      <c r="J478" s="3" t="str">
        <f aca="false">IF(H478=9,IF(G478=9,"즉시 착수",IF(G478=3,"표준화 병행","선결 과제")),IF(H478=3,IF(G478=1,"보류","2단계 확장"),IF(G478=1,"제외","여력 시 수집")))</f>
        <v>2단계 확장</v>
      </c>
    </row>
    <row r="479" customFormat="false" ht="15" hidden="false" customHeight="false" outlineLevel="0" collapsed="false">
      <c r="A479" s="3" t="n">
        <v>478</v>
      </c>
      <c r="B479" s="3" t="s">
        <v>526</v>
      </c>
      <c r="C479" s="4" t="s">
        <v>527</v>
      </c>
      <c r="D479" s="5" t="s">
        <v>528</v>
      </c>
      <c r="E479" s="4" t="s">
        <v>578</v>
      </c>
      <c r="F479" s="9" t="s">
        <v>582</v>
      </c>
      <c r="G479" s="7" t="n">
        <v>9</v>
      </c>
      <c r="H479" s="12" t="n">
        <v>3</v>
      </c>
      <c r="I479" s="13" t="n">
        <f aca="false">G479+H479</f>
        <v>12</v>
      </c>
      <c r="J479" s="3" t="str">
        <f aca="false">IF(H479=9,IF(G479=9,"즉시 착수",IF(G479=3,"표준화 병행","선결 과제")),IF(H479=3,IF(G479=1,"보류","2단계 확장"),IF(G479=1,"제외","여력 시 수집")))</f>
        <v>2단계 확장</v>
      </c>
    </row>
    <row r="480" customFormat="false" ht="15" hidden="false" customHeight="false" outlineLevel="0" collapsed="false">
      <c r="A480" s="3" t="n">
        <v>479</v>
      </c>
      <c r="B480" s="3" t="s">
        <v>526</v>
      </c>
      <c r="C480" s="4" t="s">
        <v>527</v>
      </c>
      <c r="D480" s="5" t="s">
        <v>528</v>
      </c>
      <c r="E480" s="4" t="s">
        <v>578</v>
      </c>
      <c r="F480" s="6" t="s">
        <v>583</v>
      </c>
      <c r="G480" s="7" t="n">
        <v>9</v>
      </c>
      <c r="H480" s="12" t="n">
        <v>3</v>
      </c>
      <c r="I480" s="13" t="n">
        <f aca="false">G480+H480</f>
        <v>12</v>
      </c>
      <c r="J480" s="3" t="str">
        <f aca="false">IF(H480=9,IF(G480=9,"즉시 착수",IF(G480=3,"표준화 병행","선결 과제")),IF(H480=3,IF(G480=1,"보류","2단계 확장"),IF(G480=1,"제외","여력 시 수집")))</f>
        <v>2단계 확장</v>
      </c>
    </row>
    <row r="481" customFormat="false" ht="15" hidden="false" customHeight="false" outlineLevel="0" collapsed="false">
      <c r="A481" s="3" t="n">
        <v>480</v>
      </c>
      <c r="B481" s="3" t="s">
        <v>526</v>
      </c>
      <c r="C481" s="4" t="s">
        <v>527</v>
      </c>
      <c r="D481" s="5" t="s">
        <v>528</v>
      </c>
      <c r="E481" s="4" t="s">
        <v>578</v>
      </c>
      <c r="F481" s="9" t="s">
        <v>584</v>
      </c>
      <c r="G481" s="10" t="n">
        <v>1</v>
      </c>
      <c r="H481" s="12" t="n">
        <v>3</v>
      </c>
      <c r="I481" s="14" t="n">
        <f aca="false">G481+H481</f>
        <v>4</v>
      </c>
      <c r="J481" s="3" t="str">
        <f aca="false">IF(H481=9,IF(G481=9,"즉시 착수",IF(G481=3,"표준화 병행","선결 과제")),IF(H481=3,IF(G481=1,"보류","2단계 확장"),IF(G481=1,"제외","여력 시 수집")))</f>
        <v>보류</v>
      </c>
    </row>
    <row r="482" customFormat="false" ht="15" hidden="false" customHeight="false" outlineLevel="0" collapsed="false">
      <c r="A482" s="3" t="n">
        <v>481</v>
      </c>
      <c r="B482" s="3" t="s">
        <v>585</v>
      </c>
      <c r="C482" s="4" t="s">
        <v>586</v>
      </c>
      <c r="D482" s="5" t="s">
        <v>587</v>
      </c>
      <c r="E482" s="4" t="s">
        <v>588</v>
      </c>
      <c r="F482" s="9" t="s">
        <v>589</v>
      </c>
      <c r="G482" s="12" t="n">
        <v>3</v>
      </c>
      <c r="H482" s="7" t="n">
        <v>9</v>
      </c>
      <c r="I482" s="13" t="n">
        <f aca="false">G482+H482</f>
        <v>12</v>
      </c>
      <c r="J482" s="3" t="str">
        <f aca="false">IF(H482=9,IF(G482=9,"즉시 착수",IF(G482=3,"표준화 병행","선결 과제")),IF(H482=3,IF(G482=1,"보류","2단계 확장"),IF(G482=1,"제외","여력 시 수집")))</f>
        <v>표준화 병행</v>
      </c>
    </row>
    <row r="483" customFormat="false" ht="15" hidden="false" customHeight="false" outlineLevel="0" collapsed="false">
      <c r="A483" s="3" t="n">
        <v>482</v>
      </c>
      <c r="B483" s="3" t="s">
        <v>585</v>
      </c>
      <c r="C483" s="4" t="s">
        <v>586</v>
      </c>
      <c r="D483" s="5" t="s">
        <v>587</v>
      </c>
      <c r="E483" s="4" t="s">
        <v>588</v>
      </c>
      <c r="F483" s="9" t="s">
        <v>590</v>
      </c>
      <c r="G483" s="12" t="n">
        <v>3</v>
      </c>
      <c r="H483" s="7" t="n">
        <v>9</v>
      </c>
      <c r="I483" s="13" t="n">
        <f aca="false">G483+H483</f>
        <v>12</v>
      </c>
      <c r="J483" s="3" t="str">
        <f aca="false">IF(H483=9,IF(G483=9,"즉시 착수",IF(G483=3,"표준화 병행","선결 과제")),IF(H483=3,IF(G483=1,"보류","2단계 확장"),IF(G483=1,"제외","여력 시 수집")))</f>
        <v>표준화 병행</v>
      </c>
    </row>
    <row r="484" customFormat="false" ht="15" hidden="false" customHeight="false" outlineLevel="0" collapsed="false">
      <c r="A484" s="3" t="n">
        <v>483</v>
      </c>
      <c r="B484" s="3" t="s">
        <v>585</v>
      </c>
      <c r="C484" s="4" t="s">
        <v>586</v>
      </c>
      <c r="D484" s="5" t="s">
        <v>587</v>
      </c>
      <c r="E484" s="4" t="s">
        <v>588</v>
      </c>
      <c r="F484" s="9" t="s">
        <v>591</v>
      </c>
      <c r="G484" s="10" t="n">
        <v>1</v>
      </c>
      <c r="H484" s="7" t="n">
        <v>9</v>
      </c>
      <c r="I484" s="11" t="n">
        <f aca="false">G484+H484</f>
        <v>10</v>
      </c>
      <c r="J484" s="3" t="str">
        <f aca="false">IF(H484=9,IF(G484=9,"즉시 착수",IF(G484=3,"표준화 병행","선결 과제")),IF(H484=3,IF(G484=1,"보류","2단계 확장"),IF(G484=1,"제외","여력 시 수집")))</f>
        <v>선결 과제</v>
      </c>
    </row>
    <row r="485" customFormat="false" ht="15" hidden="false" customHeight="false" outlineLevel="0" collapsed="false">
      <c r="A485" s="3" t="n">
        <v>484</v>
      </c>
      <c r="B485" s="3" t="s">
        <v>585</v>
      </c>
      <c r="C485" s="4" t="s">
        <v>586</v>
      </c>
      <c r="D485" s="5" t="s">
        <v>587</v>
      </c>
      <c r="E485" s="4" t="s">
        <v>588</v>
      </c>
      <c r="F485" s="9" t="s">
        <v>592</v>
      </c>
      <c r="G485" s="10" t="n">
        <v>1</v>
      </c>
      <c r="H485" s="7" t="n">
        <v>9</v>
      </c>
      <c r="I485" s="11" t="n">
        <f aca="false">G485+H485</f>
        <v>10</v>
      </c>
      <c r="J485" s="3" t="str">
        <f aca="false">IF(H485=9,IF(G485=9,"즉시 착수",IF(G485=3,"표준화 병행","선결 과제")),IF(H485=3,IF(G485=1,"보류","2단계 확장"),IF(G485=1,"제외","여력 시 수집")))</f>
        <v>선결 과제</v>
      </c>
    </row>
    <row r="486" customFormat="false" ht="15" hidden="false" customHeight="false" outlineLevel="0" collapsed="false">
      <c r="A486" s="3" t="n">
        <v>485</v>
      </c>
      <c r="B486" s="3" t="s">
        <v>585</v>
      </c>
      <c r="C486" s="4" t="s">
        <v>586</v>
      </c>
      <c r="D486" s="5" t="s">
        <v>587</v>
      </c>
      <c r="E486" s="4" t="s">
        <v>588</v>
      </c>
      <c r="F486" s="9" t="s">
        <v>593</v>
      </c>
      <c r="G486" s="10" t="n">
        <v>1</v>
      </c>
      <c r="H486" s="12" t="n">
        <v>3</v>
      </c>
      <c r="I486" s="14" t="n">
        <f aca="false">G486+H486</f>
        <v>4</v>
      </c>
      <c r="J486" s="3" t="str">
        <f aca="false">IF(H486=9,IF(G486=9,"즉시 착수",IF(G486=3,"표준화 병행","선결 과제")),IF(H486=3,IF(G486=1,"보류","2단계 확장"),IF(G486=1,"제외","여력 시 수집")))</f>
        <v>보류</v>
      </c>
    </row>
    <row r="487" customFormat="false" ht="15" hidden="false" customHeight="false" outlineLevel="0" collapsed="false">
      <c r="A487" s="3" t="n">
        <v>486</v>
      </c>
      <c r="B487" s="3" t="s">
        <v>585</v>
      </c>
      <c r="C487" s="4" t="s">
        <v>586</v>
      </c>
      <c r="D487" s="5" t="s">
        <v>587</v>
      </c>
      <c r="E487" s="4" t="s">
        <v>588</v>
      </c>
      <c r="F487" s="9" t="s">
        <v>594</v>
      </c>
      <c r="G487" s="7" t="n">
        <v>9</v>
      </c>
      <c r="H487" s="7" t="n">
        <v>9</v>
      </c>
      <c r="I487" s="8" t="n">
        <f aca="false">G487+H487</f>
        <v>18</v>
      </c>
      <c r="J487" s="3" t="str">
        <f aca="false">IF(H487=9,IF(G487=9,"즉시 착수",IF(G487=3,"표준화 병행","선결 과제")),IF(H487=3,IF(G487=1,"보류","2단계 확장"),IF(G487=1,"제외","여력 시 수집")))</f>
        <v>즉시 착수</v>
      </c>
    </row>
    <row r="488" customFormat="false" ht="15" hidden="false" customHeight="false" outlineLevel="0" collapsed="false">
      <c r="A488" s="3" t="n">
        <v>487</v>
      </c>
      <c r="B488" s="3" t="s">
        <v>585</v>
      </c>
      <c r="C488" s="4" t="s">
        <v>586</v>
      </c>
      <c r="D488" s="5" t="s">
        <v>587</v>
      </c>
      <c r="E488" s="4" t="s">
        <v>595</v>
      </c>
      <c r="F488" s="6" t="s">
        <v>596</v>
      </c>
      <c r="G488" s="7" t="n">
        <v>9</v>
      </c>
      <c r="H488" s="7" t="n">
        <v>9</v>
      </c>
      <c r="I488" s="8" t="n">
        <f aca="false">G488+H488</f>
        <v>18</v>
      </c>
      <c r="J488" s="3" t="str">
        <f aca="false">IF(H488=9,IF(G488=9,"즉시 착수",IF(G488=3,"표준화 병행","선결 과제")),IF(H488=3,IF(G488=1,"보류","2단계 확장"),IF(G488=1,"제외","여력 시 수집")))</f>
        <v>즉시 착수</v>
      </c>
    </row>
    <row r="489" customFormat="false" ht="15" hidden="false" customHeight="false" outlineLevel="0" collapsed="false">
      <c r="A489" s="3" t="n">
        <v>488</v>
      </c>
      <c r="B489" s="3" t="s">
        <v>585</v>
      </c>
      <c r="C489" s="4" t="s">
        <v>586</v>
      </c>
      <c r="D489" s="5" t="s">
        <v>587</v>
      </c>
      <c r="E489" s="4" t="s">
        <v>595</v>
      </c>
      <c r="F489" s="9" t="s">
        <v>597</v>
      </c>
      <c r="G489" s="7" t="n">
        <v>9</v>
      </c>
      <c r="H489" s="7" t="n">
        <v>9</v>
      </c>
      <c r="I489" s="8" t="n">
        <f aca="false">G489+H489</f>
        <v>18</v>
      </c>
      <c r="J489" s="3" t="str">
        <f aca="false">IF(H489=9,IF(G489=9,"즉시 착수",IF(G489=3,"표준화 병행","선결 과제")),IF(H489=3,IF(G489=1,"보류","2단계 확장"),IF(G489=1,"제외","여력 시 수집")))</f>
        <v>즉시 착수</v>
      </c>
    </row>
    <row r="490" customFormat="false" ht="15" hidden="false" customHeight="false" outlineLevel="0" collapsed="false">
      <c r="A490" s="3" t="n">
        <v>489</v>
      </c>
      <c r="B490" s="3" t="s">
        <v>585</v>
      </c>
      <c r="C490" s="4" t="s">
        <v>586</v>
      </c>
      <c r="D490" s="5" t="s">
        <v>587</v>
      </c>
      <c r="E490" s="4" t="s">
        <v>595</v>
      </c>
      <c r="F490" s="9" t="s">
        <v>598</v>
      </c>
      <c r="G490" s="7" t="n">
        <v>9</v>
      </c>
      <c r="H490" s="7" t="n">
        <v>9</v>
      </c>
      <c r="I490" s="8" t="n">
        <f aca="false">G490+H490</f>
        <v>18</v>
      </c>
      <c r="J490" s="3" t="str">
        <f aca="false">IF(H490=9,IF(G490=9,"즉시 착수",IF(G490=3,"표준화 병행","선결 과제")),IF(H490=3,IF(G490=1,"보류","2단계 확장"),IF(G490=1,"제외","여력 시 수집")))</f>
        <v>즉시 착수</v>
      </c>
    </row>
    <row r="491" customFormat="false" ht="15" hidden="false" customHeight="false" outlineLevel="0" collapsed="false">
      <c r="A491" s="3" t="n">
        <v>490</v>
      </c>
      <c r="B491" s="3" t="s">
        <v>585</v>
      </c>
      <c r="C491" s="4" t="s">
        <v>586</v>
      </c>
      <c r="D491" s="5" t="s">
        <v>587</v>
      </c>
      <c r="E491" s="4" t="s">
        <v>595</v>
      </c>
      <c r="F491" s="9" t="s">
        <v>599</v>
      </c>
      <c r="G491" s="7" t="n">
        <v>9</v>
      </c>
      <c r="H491" s="7" t="n">
        <v>9</v>
      </c>
      <c r="I491" s="8" t="n">
        <f aca="false">G491+H491</f>
        <v>18</v>
      </c>
      <c r="J491" s="3" t="str">
        <f aca="false">IF(H491=9,IF(G491=9,"즉시 착수",IF(G491=3,"표준화 병행","선결 과제")),IF(H491=3,IF(G491=1,"보류","2단계 확장"),IF(G491=1,"제외","여력 시 수집")))</f>
        <v>즉시 착수</v>
      </c>
    </row>
    <row r="492" customFormat="false" ht="15" hidden="false" customHeight="false" outlineLevel="0" collapsed="false">
      <c r="A492" s="3" t="n">
        <v>491</v>
      </c>
      <c r="B492" s="3" t="s">
        <v>585</v>
      </c>
      <c r="C492" s="4" t="s">
        <v>586</v>
      </c>
      <c r="D492" s="5" t="s">
        <v>587</v>
      </c>
      <c r="E492" s="4" t="s">
        <v>595</v>
      </c>
      <c r="F492" s="9" t="s">
        <v>600</v>
      </c>
      <c r="G492" s="7" t="n">
        <v>9</v>
      </c>
      <c r="H492" s="7" t="n">
        <v>9</v>
      </c>
      <c r="I492" s="8" t="n">
        <f aca="false">G492+H492</f>
        <v>18</v>
      </c>
      <c r="J492" s="3" t="str">
        <f aca="false">IF(H492=9,IF(G492=9,"즉시 착수",IF(G492=3,"표준화 병행","선결 과제")),IF(H492=3,IF(G492=1,"보류","2단계 확장"),IF(G492=1,"제외","여력 시 수집")))</f>
        <v>즉시 착수</v>
      </c>
    </row>
    <row r="493" customFormat="false" ht="15" hidden="false" customHeight="false" outlineLevel="0" collapsed="false">
      <c r="A493" s="3" t="n">
        <v>492</v>
      </c>
      <c r="B493" s="3" t="s">
        <v>585</v>
      </c>
      <c r="C493" s="4" t="s">
        <v>586</v>
      </c>
      <c r="D493" s="5" t="s">
        <v>587</v>
      </c>
      <c r="E493" s="4" t="s">
        <v>595</v>
      </c>
      <c r="F493" s="9" t="s">
        <v>601</v>
      </c>
      <c r="G493" s="7" t="n">
        <v>9</v>
      </c>
      <c r="H493" s="7" t="n">
        <v>9</v>
      </c>
      <c r="I493" s="8" t="n">
        <f aca="false">G493+H493</f>
        <v>18</v>
      </c>
      <c r="J493" s="3" t="str">
        <f aca="false">IF(H493=9,IF(G493=9,"즉시 착수",IF(G493=3,"표준화 병행","선결 과제")),IF(H493=3,IF(G493=1,"보류","2단계 확장"),IF(G493=1,"제외","여력 시 수집")))</f>
        <v>즉시 착수</v>
      </c>
    </row>
    <row r="494" customFormat="false" ht="15" hidden="false" customHeight="false" outlineLevel="0" collapsed="false">
      <c r="A494" s="3" t="n">
        <v>493</v>
      </c>
      <c r="B494" s="3" t="s">
        <v>585</v>
      </c>
      <c r="C494" s="4" t="s">
        <v>586</v>
      </c>
      <c r="D494" s="5" t="s">
        <v>587</v>
      </c>
      <c r="E494" s="4" t="s">
        <v>602</v>
      </c>
      <c r="F494" s="9" t="s">
        <v>603</v>
      </c>
      <c r="G494" s="7" t="n">
        <v>9</v>
      </c>
      <c r="H494" s="7" t="n">
        <v>9</v>
      </c>
      <c r="I494" s="8" t="n">
        <f aca="false">G494+H494</f>
        <v>18</v>
      </c>
      <c r="J494" s="3" t="str">
        <f aca="false">IF(H494=9,IF(G494=9,"즉시 착수",IF(G494=3,"표준화 병행","선결 과제")),IF(H494=3,IF(G494=1,"보류","2단계 확장"),IF(G494=1,"제외","여력 시 수집")))</f>
        <v>즉시 착수</v>
      </c>
    </row>
    <row r="495" customFormat="false" ht="15" hidden="false" customHeight="false" outlineLevel="0" collapsed="false">
      <c r="A495" s="3" t="n">
        <v>494</v>
      </c>
      <c r="B495" s="3" t="s">
        <v>585</v>
      </c>
      <c r="C495" s="4" t="s">
        <v>586</v>
      </c>
      <c r="D495" s="5" t="s">
        <v>587</v>
      </c>
      <c r="E495" s="4" t="s">
        <v>602</v>
      </c>
      <c r="F495" s="9" t="s">
        <v>604</v>
      </c>
      <c r="G495" s="7" t="n">
        <v>9</v>
      </c>
      <c r="H495" s="7" t="n">
        <v>9</v>
      </c>
      <c r="I495" s="8" t="n">
        <f aca="false">G495+H495</f>
        <v>18</v>
      </c>
      <c r="J495" s="3" t="str">
        <f aca="false">IF(H495=9,IF(G495=9,"즉시 착수",IF(G495=3,"표준화 병행","선결 과제")),IF(H495=3,IF(G495=1,"보류","2단계 확장"),IF(G495=1,"제외","여력 시 수집")))</f>
        <v>즉시 착수</v>
      </c>
    </row>
    <row r="496" customFormat="false" ht="15" hidden="false" customHeight="false" outlineLevel="0" collapsed="false">
      <c r="A496" s="3" t="n">
        <v>495</v>
      </c>
      <c r="B496" s="3" t="s">
        <v>585</v>
      </c>
      <c r="C496" s="4" t="s">
        <v>586</v>
      </c>
      <c r="D496" s="5" t="s">
        <v>587</v>
      </c>
      <c r="E496" s="4" t="s">
        <v>602</v>
      </c>
      <c r="F496" s="9" t="s">
        <v>605</v>
      </c>
      <c r="G496" s="12" t="n">
        <v>3</v>
      </c>
      <c r="H496" s="7" t="n">
        <v>9</v>
      </c>
      <c r="I496" s="13" t="n">
        <f aca="false">G496+H496</f>
        <v>12</v>
      </c>
      <c r="J496" s="3" t="str">
        <f aca="false">IF(H496=9,IF(G496=9,"즉시 착수",IF(G496=3,"표준화 병행","선결 과제")),IF(H496=3,IF(G496=1,"보류","2단계 확장"),IF(G496=1,"제외","여력 시 수집")))</f>
        <v>표준화 병행</v>
      </c>
    </row>
    <row r="497" customFormat="false" ht="15" hidden="false" customHeight="false" outlineLevel="0" collapsed="false">
      <c r="A497" s="3" t="n">
        <v>496</v>
      </c>
      <c r="B497" s="3" t="s">
        <v>585</v>
      </c>
      <c r="C497" s="4" t="s">
        <v>586</v>
      </c>
      <c r="D497" s="5" t="s">
        <v>587</v>
      </c>
      <c r="E497" s="4" t="s">
        <v>602</v>
      </c>
      <c r="F497" s="9" t="s">
        <v>606</v>
      </c>
      <c r="G497" s="7" t="n">
        <v>9</v>
      </c>
      <c r="H497" s="7" t="n">
        <v>9</v>
      </c>
      <c r="I497" s="8" t="n">
        <f aca="false">G497+H497</f>
        <v>18</v>
      </c>
      <c r="J497" s="3" t="str">
        <f aca="false">IF(H497=9,IF(G497=9,"즉시 착수",IF(G497=3,"표준화 병행","선결 과제")),IF(H497=3,IF(G497=1,"보류","2단계 확장"),IF(G497=1,"제외","여력 시 수집")))</f>
        <v>즉시 착수</v>
      </c>
    </row>
    <row r="498" customFormat="false" ht="15" hidden="false" customHeight="false" outlineLevel="0" collapsed="false">
      <c r="A498" s="3" t="n">
        <v>497</v>
      </c>
      <c r="B498" s="3" t="s">
        <v>585</v>
      </c>
      <c r="C498" s="4" t="s">
        <v>586</v>
      </c>
      <c r="D498" s="5" t="s">
        <v>587</v>
      </c>
      <c r="E498" s="4" t="s">
        <v>602</v>
      </c>
      <c r="F498" s="9" t="s">
        <v>607</v>
      </c>
      <c r="G498" s="7" t="n">
        <v>9</v>
      </c>
      <c r="H498" s="7" t="n">
        <v>9</v>
      </c>
      <c r="I498" s="8" t="n">
        <f aca="false">G498+H498</f>
        <v>18</v>
      </c>
      <c r="J498" s="3" t="str">
        <f aca="false">IF(H498=9,IF(G498=9,"즉시 착수",IF(G498=3,"표준화 병행","선결 과제")),IF(H498=3,IF(G498=1,"보류","2단계 확장"),IF(G498=1,"제외","여력 시 수집")))</f>
        <v>즉시 착수</v>
      </c>
    </row>
    <row r="499" customFormat="false" ht="15" hidden="false" customHeight="false" outlineLevel="0" collapsed="false">
      <c r="A499" s="3" t="n">
        <v>498</v>
      </c>
      <c r="B499" s="3" t="s">
        <v>585</v>
      </c>
      <c r="C499" s="4" t="s">
        <v>586</v>
      </c>
      <c r="D499" s="5" t="s">
        <v>587</v>
      </c>
      <c r="E499" s="4" t="s">
        <v>602</v>
      </c>
      <c r="F499" s="9" t="s">
        <v>608</v>
      </c>
      <c r="G499" s="12" t="n">
        <v>3</v>
      </c>
      <c r="H499" s="7" t="n">
        <v>9</v>
      </c>
      <c r="I499" s="13" t="n">
        <f aca="false">G499+H499</f>
        <v>12</v>
      </c>
      <c r="J499" s="3" t="str">
        <f aca="false">IF(H499=9,IF(G499=9,"즉시 착수",IF(G499=3,"표준화 병행","선결 과제")),IF(H499=3,IF(G499=1,"보류","2단계 확장"),IF(G499=1,"제외","여력 시 수집")))</f>
        <v>표준화 병행</v>
      </c>
    </row>
    <row r="500" customFormat="false" ht="15" hidden="false" customHeight="false" outlineLevel="0" collapsed="false">
      <c r="A500" s="3" t="n">
        <v>499</v>
      </c>
      <c r="B500" s="3" t="s">
        <v>585</v>
      </c>
      <c r="C500" s="4" t="s">
        <v>586</v>
      </c>
      <c r="D500" s="5" t="s">
        <v>587</v>
      </c>
      <c r="E500" s="4" t="s">
        <v>609</v>
      </c>
      <c r="F500" s="9" t="s">
        <v>610</v>
      </c>
      <c r="G500" s="7" t="n">
        <v>9</v>
      </c>
      <c r="H500" s="12" t="n">
        <v>3</v>
      </c>
      <c r="I500" s="13" t="n">
        <f aca="false">G500+H500</f>
        <v>12</v>
      </c>
      <c r="J500" s="3" t="str">
        <f aca="false">IF(H500=9,IF(G500=9,"즉시 착수",IF(G500=3,"표준화 병행","선결 과제")),IF(H500=3,IF(G500=1,"보류","2단계 확장"),IF(G500=1,"제외","여력 시 수집")))</f>
        <v>2단계 확장</v>
      </c>
    </row>
    <row r="501" customFormat="false" ht="15" hidden="false" customHeight="false" outlineLevel="0" collapsed="false">
      <c r="A501" s="3" t="n">
        <v>500</v>
      </c>
      <c r="B501" s="3" t="s">
        <v>585</v>
      </c>
      <c r="C501" s="4" t="s">
        <v>586</v>
      </c>
      <c r="D501" s="5" t="s">
        <v>587</v>
      </c>
      <c r="E501" s="4" t="s">
        <v>609</v>
      </c>
      <c r="F501" s="9" t="s">
        <v>611</v>
      </c>
      <c r="G501" s="7" t="n">
        <v>9</v>
      </c>
      <c r="H501" s="10" t="n">
        <v>1</v>
      </c>
      <c r="I501" s="11" t="n">
        <f aca="false">G501+H501</f>
        <v>10</v>
      </c>
      <c r="J501" s="3" t="str">
        <f aca="false">IF(H501=9,IF(G501=9,"즉시 착수",IF(G501=3,"표준화 병행","선결 과제")),IF(H501=3,IF(G501=1,"보류","2단계 확장"),IF(G501=1,"제외","여력 시 수집")))</f>
        <v>여력 시 수집</v>
      </c>
    </row>
    <row r="502" customFormat="false" ht="15" hidden="false" customHeight="false" outlineLevel="0" collapsed="false">
      <c r="A502" s="3" t="n">
        <v>501</v>
      </c>
      <c r="B502" s="3" t="s">
        <v>585</v>
      </c>
      <c r="C502" s="4" t="s">
        <v>586</v>
      </c>
      <c r="D502" s="5" t="s">
        <v>587</v>
      </c>
      <c r="E502" s="4" t="s">
        <v>609</v>
      </c>
      <c r="F502" s="9" t="s">
        <v>612</v>
      </c>
      <c r="G502" s="7" t="n">
        <v>9</v>
      </c>
      <c r="H502" s="10" t="n">
        <v>1</v>
      </c>
      <c r="I502" s="11" t="n">
        <f aca="false">G502+H502</f>
        <v>10</v>
      </c>
      <c r="J502" s="3" t="str">
        <f aca="false">IF(H502=9,IF(G502=9,"즉시 착수",IF(G502=3,"표준화 병행","선결 과제")),IF(H502=3,IF(G502=1,"보류","2단계 확장"),IF(G502=1,"제외","여력 시 수집")))</f>
        <v>여력 시 수집</v>
      </c>
    </row>
    <row r="503" customFormat="false" ht="15" hidden="false" customHeight="false" outlineLevel="0" collapsed="false">
      <c r="A503" s="3" t="n">
        <v>502</v>
      </c>
      <c r="B503" s="3" t="s">
        <v>585</v>
      </c>
      <c r="C503" s="4" t="s">
        <v>586</v>
      </c>
      <c r="D503" s="5" t="s">
        <v>587</v>
      </c>
      <c r="E503" s="4" t="s">
        <v>609</v>
      </c>
      <c r="F503" s="9" t="s">
        <v>613</v>
      </c>
      <c r="G503" s="7" t="n">
        <v>9</v>
      </c>
      <c r="H503" s="10" t="n">
        <v>1</v>
      </c>
      <c r="I503" s="11" t="n">
        <f aca="false">G503+H503</f>
        <v>10</v>
      </c>
      <c r="J503" s="3" t="str">
        <f aca="false">IF(H503=9,IF(G503=9,"즉시 착수",IF(G503=3,"표준화 병행","선결 과제")),IF(H503=3,IF(G503=1,"보류","2단계 확장"),IF(G503=1,"제외","여력 시 수집")))</f>
        <v>여력 시 수집</v>
      </c>
    </row>
    <row r="504" customFormat="false" ht="15" hidden="false" customHeight="false" outlineLevel="0" collapsed="false">
      <c r="A504" s="3" t="n">
        <v>503</v>
      </c>
      <c r="B504" s="3" t="s">
        <v>585</v>
      </c>
      <c r="C504" s="4" t="s">
        <v>586</v>
      </c>
      <c r="D504" s="5" t="s">
        <v>587</v>
      </c>
      <c r="E504" s="4" t="s">
        <v>609</v>
      </c>
      <c r="F504" s="9" t="s">
        <v>614</v>
      </c>
      <c r="G504" s="7" t="n">
        <v>9</v>
      </c>
      <c r="H504" s="10" t="n">
        <v>1</v>
      </c>
      <c r="I504" s="11" t="n">
        <f aca="false">G504+H504</f>
        <v>10</v>
      </c>
      <c r="J504" s="3" t="str">
        <f aca="false">IF(H504=9,IF(G504=9,"즉시 착수",IF(G504=3,"표준화 병행","선결 과제")),IF(H504=3,IF(G504=1,"보류","2단계 확장"),IF(G504=1,"제외","여력 시 수집")))</f>
        <v>여력 시 수집</v>
      </c>
    </row>
    <row r="505" customFormat="false" ht="15" hidden="false" customHeight="false" outlineLevel="0" collapsed="false">
      <c r="A505" s="3" t="n">
        <v>504</v>
      </c>
      <c r="B505" s="3" t="s">
        <v>585</v>
      </c>
      <c r="C505" s="4" t="s">
        <v>586</v>
      </c>
      <c r="D505" s="5" t="s">
        <v>587</v>
      </c>
      <c r="E505" s="4" t="s">
        <v>609</v>
      </c>
      <c r="F505" s="9" t="s">
        <v>615</v>
      </c>
      <c r="G505" s="12" t="n">
        <v>3</v>
      </c>
      <c r="H505" s="10" t="n">
        <v>1</v>
      </c>
      <c r="I505" s="14" t="n">
        <f aca="false">G505+H505</f>
        <v>4</v>
      </c>
      <c r="J505" s="3" t="str">
        <f aca="false">IF(H505=9,IF(G505=9,"즉시 착수",IF(G505=3,"표준화 병행","선결 과제")),IF(H505=3,IF(G505=1,"보류","2단계 확장"),IF(G505=1,"제외","여력 시 수집")))</f>
        <v>여력 시 수집</v>
      </c>
    </row>
    <row r="506" customFormat="false" ht="15" hidden="false" customHeight="false" outlineLevel="0" collapsed="false">
      <c r="A506" s="3" t="n">
        <v>505</v>
      </c>
      <c r="B506" s="3" t="s">
        <v>585</v>
      </c>
      <c r="C506" s="4" t="s">
        <v>586</v>
      </c>
      <c r="D506" s="5" t="s">
        <v>587</v>
      </c>
      <c r="E506" s="4" t="s">
        <v>616</v>
      </c>
      <c r="F506" s="9" t="s">
        <v>617</v>
      </c>
      <c r="G506" s="7" t="n">
        <v>9</v>
      </c>
      <c r="H506" s="7" t="n">
        <v>9</v>
      </c>
      <c r="I506" s="8" t="n">
        <f aca="false">G506+H506</f>
        <v>18</v>
      </c>
      <c r="J506" s="3" t="str">
        <f aca="false">IF(H506=9,IF(G506=9,"즉시 착수",IF(G506=3,"표준화 병행","선결 과제")),IF(H506=3,IF(G506=1,"보류","2단계 확장"),IF(G506=1,"제외","여력 시 수집")))</f>
        <v>즉시 착수</v>
      </c>
    </row>
    <row r="507" customFormat="false" ht="15" hidden="false" customHeight="false" outlineLevel="0" collapsed="false">
      <c r="A507" s="3" t="n">
        <v>506</v>
      </c>
      <c r="B507" s="3" t="s">
        <v>585</v>
      </c>
      <c r="C507" s="4" t="s">
        <v>586</v>
      </c>
      <c r="D507" s="5" t="s">
        <v>587</v>
      </c>
      <c r="E507" s="4" t="s">
        <v>616</v>
      </c>
      <c r="F507" s="9" t="s">
        <v>618</v>
      </c>
      <c r="G507" s="7" t="n">
        <v>9</v>
      </c>
      <c r="H507" s="7" t="n">
        <v>9</v>
      </c>
      <c r="I507" s="8" t="n">
        <f aca="false">G507+H507</f>
        <v>18</v>
      </c>
      <c r="J507" s="3" t="str">
        <f aca="false">IF(H507=9,IF(G507=9,"즉시 착수",IF(G507=3,"표준화 병행","선결 과제")),IF(H507=3,IF(G507=1,"보류","2단계 확장"),IF(G507=1,"제외","여력 시 수집")))</f>
        <v>즉시 착수</v>
      </c>
    </row>
    <row r="508" customFormat="false" ht="15" hidden="false" customHeight="false" outlineLevel="0" collapsed="false">
      <c r="A508" s="3" t="n">
        <v>507</v>
      </c>
      <c r="B508" s="3" t="s">
        <v>585</v>
      </c>
      <c r="C508" s="4" t="s">
        <v>586</v>
      </c>
      <c r="D508" s="5" t="s">
        <v>587</v>
      </c>
      <c r="E508" s="4" t="s">
        <v>616</v>
      </c>
      <c r="F508" s="9" t="s">
        <v>619</v>
      </c>
      <c r="G508" s="10" t="n">
        <v>1</v>
      </c>
      <c r="H508" s="7" t="n">
        <v>9</v>
      </c>
      <c r="I508" s="11" t="n">
        <f aca="false">G508+H508</f>
        <v>10</v>
      </c>
      <c r="J508" s="3" t="str">
        <f aca="false">IF(H508=9,IF(G508=9,"즉시 착수",IF(G508=3,"표준화 병행","선결 과제")),IF(H508=3,IF(G508=1,"보류","2단계 확장"),IF(G508=1,"제외","여력 시 수집")))</f>
        <v>선결 과제</v>
      </c>
    </row>
    <row r="509" customFormat="false" ht="15" hidden="false" customHeight="false" outlineLevel="0" collapsed="false">
      <c r="A509" s="3" t="n">
        <v>508</v>
      </c>
      <c r="B509" s="3" t="s">
        <v>585</v>
      </c>
      <c r="C509" s="4" t="s">
        <v>586</v>
      </c>
      <c r="D509" s="5" t="s">
        <v>587</v>
      </c>
      <c r="E509" s="4" t="s">
        <v>616</v>
      </c>
      <c r="F509" s="9" t="s">
        <v>620</v>
      </c>
      <c r="G509" s="7" t="n">
        <v>9</v>
      </c>
      <c r="H509" s="7" t="n">
        <v>9</v>
      </c>
      <c r="I509" s="8" t="n">
        <f aca="false">G509+H509</f>
        <v>18</v>
      </c>
      <c r="J509" s="3" t="str">
        <f aca="false">IF(H509=9,IF(G509=9,"즉시 착수",IF(G509=3,"표준화 병행","선결 과제")),IF(H509=3,IF(G509=1,"보류","2단계 확장"),IF(G509=1,"제외","여력 시 수집")))</f>
        <v>즉시 착수</v>
      </c>
    </row>
    <row r="510" customFormat="false" ht="15" hidden="false" customHeight="false" outlineLevel="0" collapsed="false">
      <c r="A510" s="3" t="n">
        <v>509</v>
      </c>
      <c r="B510" s="3" t="s">
        <v>585</v>
      </c>
      <c r="C510" s="4" t="s">
        <v>586</v>
      </c>
      <c r="D510" s="5" t="s">
        <v>587</v>
      </c>
      <c r="E510" s="4" t="s">
        <v>616</v>
      </c>
      <c r="F510" s="9" t="s">
        <v>621</v>
      </c>
      <c r="G510" s="10" t="n">
        <v>1</v>
      </c>
      <c r="H510" s="7" t="n">
        <v>9</v>
      </c>
      <c r="I510" s="11" t="n">
        <f aca="false">G510+H510</f>
        <v>10</v>
      </c>
      <c r="J510" s="3" t="str">
        <f aca="false">IF(H510=9,IF(G510=9,"즉시 착수",IF(G510=3,"표준화 병행","선결 과제")),IF(H510=3,IF(G510=1,"보류","2단계 확장"),IF(G510=1,"제외","여력 시 수집")))</f>
        <v>선결 과제</v>
      </c>
    </row>
    <row r="511" customFormat="false" ht="15" hidden="false" customHeight="false" outlineLevel="0" collapsed="false">
      <c r="A511" s="3" t="n">
        <v>510</v>
      </c>
      <c r="B511" s="3" t="s">
        <v>585</v>
      </c>
      <c r="C511" s="4" t="s">
        <v>586</v>
      </c>
      <c r="D511" s="5" t="s">
        <v>587</v>
      </c>
      <c r="E511" s="4" t="s">
        <v>616</v>
      </c>
      <c r="F511" s="9" t="s">
        <v>622</v>
      </c>
      <c r="G511" s="12" t="n">
        <v>3</v>
      </c>
      <c r="H511" s="12" t="n">
        <v>3</v>
      </c>
      <c r="I511" s="15" t="n">
        <f aca="false">G511+H511</f>
        <v>6</v>
      </c>
      <c r="J511" s="3" t="str">
        <f aca="false">IF(H511=9,IF(G511=9,"즉시 착수",IF(G511=3,"표준화 병행","선결 과제")),IF(H511=3,IF(G511=1,"보류","2단계 확장"),IF(G511=1,"제외","여력 시 수집")))</f>
        <v>2단계 확장</v>
      </c>
    </row>
    <row r="512" customFormat="false" ht="15" hidden="false" customHeight="false" outlineLevel="0" collapsed="false">
      <c r="A512" s="3" t="n">
        <v>511</v>
      </c>
      <c r="B512" s="3" t="s">
        <v>585</v>
      </c>
      <c r="C512" s="4" t="s">
        <v>586</v>
      </c>
      <c r="D512" s="5" t="s">
        <v>587</v>
      </c>
      <c r="E512" s="4" t="s">
        <v>623</v>
      </c>
      <c r="F512" s="6" t="s">
        <v>624</v>
      </c>
      <c r="G512" s="12" t="n">
        <v>3</v>
      </c>
      <c r="H512" s="7" t="n">
        <v>9</v>
      </c>
      <c r="I512" s="13" t="n">
        <f aca="false">G512+H512</f>
        <v>12</v>
      </c>
      <c r="J512" s="3" t="str">
        <f aca="false">IF(H512=9,IF(G512=9,"즉시 착수",IF(G512=3,"표준화 병행","선결 과제")),IF(H512=3,IF(G512=1,"보류","2단계 확장"),IF(G512=1,"제외","여력 시 수집")))</f>
        <v>표준화 병행</v>
      </c>
    </row>
    <row r="513" customFormat="false" ht="15" hidden="false" customHeight="false" outlineLevel="0" collapsed="false">
      <c r="A513" s="3" t="n">
        <v>512</v>
      </c>
      <c r="B513" s="3" t="s">
        <v>585</v>
      </c>
      <c r="C513" s="4" t="s">
        <v>586</v>
      </c>
      <c r="D513" s="5" t="s">
        <v>587</v>
      </c>
      <c r="E513" s="4" t="s">
        <v>623</v>
      </c>
      <c r="F513" s="9" t="s">
        <v>625</v>
      </c>
      <c r="G513" s="12" t="n">
        <v>3</v>
      </c>
      <c r="H513" s="7" t="n">
        <v>9</v>
      </c>
      <c r="I513" s="13" t="n">
        <f aca="false">G513+H513</f>
        <v>12</v>
      </c>
      <c r="J513" s="3" t="str">
        <f aca="false">IF(H513=9,IF(G513=9,"즉시 착수",IF(G513=3,"표준화 병행","선결 과제")),IF(H513=3,IF(G513=1,"보류","2단계 확장"),IF(G513=1,"제외","여력 시 수집")))</f>
        <v>표준화 병행</v>
      </c>
    </row>
    <row r="514" customFormat="false" ht="15" hidden="false" customHeight="false" outlineLevel="0" collapsed="false">
      <c r="A514" s="3" t="n">
        <v>513</v>
      </c>
      <c r="B514" s="3" t="s">
        <v>585</v>
      </c>
      <c r="C514" s="4" t="s">
        <v>586</v>
      </c>
      <c r="D514" s="5" t="s">
        <v>587</v>
      </c>
      <c r="E514" s="4" t="s">
        <v>623</v>
      </c>
      <c r="F514" s="9" t="s">
        <v>626</v>
      </c>
      <c r="G514" s="12" t="n">
        <v>3</v>
      </c>
      <c r="H514" s="7" t="n">
        <v>9</v>
      </c>
      <c r="I514" s="13" t="n">
        <f aca="false">G514+H514</f>
        <v>12</v>
      </c>
      <c r="J514" s="3" t="str">
        <f aca="false">IF(H514=9,IF(G514=9,"즉시 착수",IF(G514=3,"표준화 병행","선결 과제")),IF(H514=3,IF(G514=1,"보류","2단계 확장"),IF(G514=1,"제외","여력 시 수집")))</f>
        <v>표준화 병행</v>
      </c>
    </row>
    <row r="515" customFormat="false" ht="15" hidden="false" customHeight="false" outlineLevel="0" collapsed="false">
      <c r="A515" s="3" t="n">
        <v>514</v>
      </c>
      <c r="B515" s="3" t="s">
        <v>585</v>
      </c>
      <c r="C515" s="4" t="s">
        <v>586</v>
      </c>
      <c r="D515" s="5" t="s">
        <v>587</v>
      </c>
      <c r="E515" s="4" t="s">
        <v>623</v>
      </c>
      <c r="F515" s="9" t="s">
        <v>627</v>
      </c>
      <c r="G515" s="12" t="n">
        <v>3</v>
      </c>
      <c r="H515" s="12" t="n">
        <v>3</v>
      </c>
      <c r="I515" s="15" t="n">
        <f aca="false">G515+H515</f>
        <v>6</v>
      </c>
      <c r="J515" s="3" t="str">
        <f aca="false">IF(H515=9,IF(G515=9,"즉시 착수",IF(G515=3,"표준화 병행","선결 과제")),IF(H515=3,IF(G515=1,"보류","2단계 확장"),IF(G515=1,"제외","여력 시 수집")))</f>
        <v>2단계 확장</v>
      </c>
    </row>
    <row r="516" customFormat="false" ht="15" hidden="false" customHeight="false" outlineLevel="0" collapsed="false">
      <c r="A516" s="3" t="n">
        <v>515</v>
      </c>
      <c r="B516" s="3" t="s">
        <v>585</v>
      </c>
      <c r="C516" s="4" t="s">
        <v>586</v>
      </c>
      <c r="D516" s="5" t="s">
        <v>587</v>
      </c>
      <c r="E516" s="4" t="s">
        <v>623</v>
      </c>
      <c r="F516" s="9" t="s">
        <v>628</v>
      </c>
      <c r="G516" s="12" t="n">
        <v>3</v>
      </c>
      <c r="H516" s="7" t="n">
        <v>9</v>
      </c>
      <c r="I516" s="13" t="n">
        <f aca="false">G516+H516</f>
        <v>12</v>
      </c>
      <c r="J516" s="3" t="str">
        <f aca="false">IF(H516=9,IF(G516=9,"즉시 착수",IF(G516=3,"표준화 병행","선결 과제")),IF(H516=3,IF(G516=1,"보류","2단계 확장"),IF(G516=1,"제외","여력 시 수집")))</f>
        <v>표준화 병행</v>
      </c>
    </row>
    <row r="517" customFormat="false" ht="15" hidden="false" customHeight="false" outlineLevel="0" collapsed="false">
      <c r="A517" s="3" t="n">
        <v>516</v>
      </c>
      <c r="B517" s="3" t="s">
        <v>585</v>
      </c>
      <c r="C517" s="4" t="s">
        <v>586</v>
      </c>
      <c r="D517" s="5" t="s">
        <v>587</v>
      </c>
      <c r="E517" s="4" t="s">
        <v>623</v>
      </c>
      <c r="F517" s="9" t="s">
        <v>333</v>
      </c>
      <c r="G517" s="10" t="n">
        <v>1</v>
      </c>
      <c r="H517" s="7" t="n">
        <v>9</v>
      </c>
      <c r="I517" s="11" t="n">
        <f aca="false">G517+H517</f>
        <v>10</v>
      </c>
      <c r="J517" s="3" t="str">
        <f aca="false">IF(H517=9,IF(G517=9,"즉시 착수",IF(G517=3,"표준화 병행","선결 과제")),IF(H517=3,IF(G517=1,"보류","2단계 확장"),IF(G517=1,"제외","여력 시 수집")))</f>
        <v>선결 과제</v>
      </c>
    </row>
    <row r="518" customFormat="false" ht="15" hidden="false" customHeight="false" outlineLevel="0" collapsed="false">
      <c r="A518" s="3" t="n">
        <v>517</v>
      </c>
      <c r="B518" s="3" t="s">
        <v>585</v>
      </c>
      <c r="C518" s="4" t="s">
        <v>586</v>
      </c>
      <c r="D518" s="5" t="s">
        <v>587</v>
      </c>
      <c r="E518" s="4" t="s">
        <v>629</v>
      </c>
      <c r="F518" s="9" t="s">
        <v>630</v>
      </c>
      <c r="G518" s="12" t="n">
        <v>3</v>
      </c>
      <c r="H518" s="12" t="n">
        <v>3</v>
      </c>
      <c r="I518" s="15" t="n">
        <f aca="false">G518+H518</f>
        <v>6</v>
      </c>
      <c r="J518" s="3" t="str">
        <f aca="false">IF(H518=9,IF(G518=9,"즉시 착수",IF(G518=3,"표준화 병행","선결 과제")),IF(H518=3,IF(G518=1,"보류","2단계 확장"),IF(G518=1,"제외","여력 시 수집")))</f>
        <v>2단계 확장</v>
      </c>
    </row>
    <row r="519" customFormat="false" ht="15" hidden="false" customHeight="false" outlineLevel="0" collapsed="false">
      <c r="A519" s="3" t="n">
        <v>518</v>
      </c>
      <c r="B519" s="3" t="s">
        <v>585</v>
      </c>
      <c r="C519" s="4" t="s">
        <v>586</v>
      </c>
      <c r="D519" s="5" t="s">
        <v>587</v>
      </c>
      <c r="E519" s="4" t="s">
        <v>629</v>
      </c>
      <c r="F519" s="9" t="s">
        <v>631</v>
      </c>
      <c r="G519" s="7" t="n">
        <v>9</v>
      </c>
      <c r="H519" s="12" t="n">
        <v>3</v>
      </c>
      <c r="I519" s="13" t="n">
        <f aca="false">G519+H519</f>
        <v>12</v>
      </c>
      <c r="J519" s="3" t="str">
        <f aca="false">IF(H519=9,IF(G519=9,"즉시 착수",IF(G519=3,"표준화 병행","선결 과제")),IF(H519=3,IF(G519=1,"보류","2단계 확장"),IF(G519=1,"제외","여력 시 수집")))</f>
        <v>2단계 확장</v>
      </c>
    </row>
    <row r="520" customFormat="false" ht="15" hidden="false" customHeight="false" outlineLevel="0" collapsed="false">
      <c r="A520" s="3" t="n">
        <v>519</v>
      </c>
      <c r="B520" s="3" t="s">
        <v>585</v>
      </c>
      <c r="C520" s="4" t="s">
        <v>586</v>
      </c>
      <c r="D520" s="5" t="s">
        <v>587</v>
      </c>
      <c r="E520" s="4" t="s">
        <v>629</v>
      </c>
      <c r="F520" s="9" t="s">
        <v>632</v>
      </c>
      <c r="G520" s="7" t="n">
        <v>9</v>
      </c>
      <c r="H520" s="12" t="n">
        <v>3</v>
      </c>
      <c r="I520" s="13" t="n">
        <f aca="false">G520+H520</f>
        <v>12</v>
      </c>
      <c r="J520" s="3" t="str">
        <f aca="false">IF(H520=9,IF(G520=9,"즉시 착수",IF(G520=3,"표준화 병행","선결 과제")),IF(H520=3,IF(G520=1,"보류","2단계 확장"),IF(G520=1,"제외","여력 시 수집")))</f>
        <v>2단계 확장</v>
      </c>
    </row>
    <row r="521" customFormat="false" ht="15" hidden="false" customHeight="false" outlineLevel="0" collapsed="false">
      <c r="A521" s="3" t="n">
        <v>520</v>
      </c>
      <c r="B521" s="3" t="s">
        <v>585</v>
      </c>
      <c r="C521" s="4" t="s">
        <v>586</v>
      </c>
      <c r="D521" s="5" t="s">
        <v>587</v>
      </c>
      <c r="E521" s="4" t="s">
        <v>629</v>
      </c>
      <c r="F521" s="9" t="s">
        <v>633</v>
      </c>
      <c r="G521" s="10" t="n">
        <v>1</v>
      </c>
      <c r="H521" s="12" t="n">
        <v>3</v>
      </c>
      <c r="I521" s="14" t="n">
        <f aca="false">G521+H521</f>
        <v>4</v>
      </c>
      <c r="J521" s="3" t="str">
        <f aca="false">IF(H521=9,IF(G521=9,"즉시 착수",IF(G521=3,"표준화 병행","선결 과제")),IF(H521=3,IF(G521=1,"보류","2단계 확장"),IF(G521=1,"제외","여력 시 수집")))</f>
        <v>보류</v>
      </c>
    </row>
    <row r="522" customFormat="false" ht="15" hidden="false" customHeight="false" outlineLevel="0" collapsed="false">
      <c r="A522" s="3" t="n">
        <v>521</v>
      </c>
      <c r="B522" s="3" t="s">
        <v>585</v>
      </c>
      <c r="C522" s="4" t="s">
        <v>586</v>
      </c>
      <c r="D522" s="5" t="s">
        <v>587</v>
      </c>
      <c r="E522" s="4" t="s">
        <v>629</v>
      </c>
      <c r="F522" s="9" t="s">
        <v>634</v>
      </c>
      <c r="G522" s="10" t="n">
        <v>1</v>
      </c>
      <c r="H522" s="12" t="n">
        <v>3</v>
      </c>
      <c r="I522" s="14" t="n">
        <f aca="false">G522+H522</f>
        <v>4</v>
      </c>
      <c r="J522" s="3" t="str">
        <f aca="false">IF(H522=9,IF(G522=9,"즉시 착수",IF(G522=3,"표준화 병행","선결 과제")),IF(H522=3,IF(G522=1,"보류","2단계 확장"),IF(G522=1,"제외","여력 시 수집")))</f>
        <v>보류</v>
      </c>
    </row>
    <row r="523" customFormat="false" ht="15" hidden="false" customHeight="false" outlineLevel="0" collapsed="false">
      <c r="A523" s="3" t="n">
        <v>522</v>
      </c>
      <c r="B523" s="3" t="s">
        <v>585</v>
      </c>
      <c r="C523" s="4" t="s">
        <v>586</v>
      </c>
      <c r="D523" s="5" t="s">
        <v>587</v>
      </c>
      <c r="E523" s="4" t="s">
        <v>629</v>
      </c>
      <c r="F523" s="9" t="s">
        <v>635</v>
      </c>
      <c r="G523" s="10" t="n">
        <v>1</v>
      </c>
      <c r="H523" s="7" t="n">
        <v>9</v>
      </c>
      <c r="I523" s="11" t="n">
        <f aca="false">G523+H523</f>
        <v>10</v>
      </c>
      <c r="J523" s="3" t="str">
        <f aca="false">IF(H523=9,IF(G523=9,"즉시 착수",IF(G523=3,"표준화 병행","선결 과제")),IF(H523=3,IF(G523=1,"보류","2단계 확장"),IF(G523=1,"제외","여력 시 수집")))</f>
        <v>선결 과제</v>
      </c>
    </row>
    <row r="524" customFormat="false" ht="15" hidden="false" customHeight="false" outlineLevel="0" collapsed="false">
      <c r="A524" s="3" t="n">
        <v>523</v>
      </c>
      <c r="B524" s="3" t="s">
        <v>585</v>
      </c>
      <c r="C524" s="4" t="s">
        <v>586</v>
      </c>
      <c r="D524" s="5" t="s">
        <v>587</v>
      </c>
      <c r="E524" s="4" t="s">
        <v>636</v>
      </c>
      <c r="F524" s="9" t="s">
        <v>637</v>
      </c>
      <c r="G524" s="10" t="n">
        <v>1</v>
      </c>
      <c r="H524" s="7" t="n">
        <v>9</v>
      </c>
      <c r="I524" s="11" t="n">
        <f aca="false">G524+H524</f>
        <v>10</v>
      </c>
      <c r="J524" s="3" t="str">
        <f aca="false">IF(H524=9,IF(G524=9,"즉시 착수",IF(G524=3,"표준화 병행","선결 과제")),IF(H524=3,IF(G524=1,"보류","2단계 확장"),IF(G524=1,"제외","여력 시 수집")))</f>
        <v>선결 과제</v>
      </c>
    </row>
    <row r="525" customFormat="false" ht="15" hidden="false" customHeight="false" outlineLevel="0" collapsed="false">
      <c r="A525" s="3" t="n">
        <v>524</v>
      </c>
      <c r="B525" s="3" t="s">
        <v>585</v>
      </c>
      <c r="C525" s="4" t="s">
        <v>586</v>
      </c>
      <c r="D525" s="5" t="s">
        <v>587</v>
      </c>
      <c r="E525" s="4" t="s">
        <v>636</v>
      </c>
      <c r="F525" s="9" t="s">
        <v>638</v>
      </c>
      <c r="G525" s="10" t="n">
        <v>1</v>
      </c>
      <c r="H525" s="7" t="n">
        <v>9</v>
      </c>
      <c r="I525" s="11" t="n">
        <f aca="false">G525+H525</f>
        <v>10</v>
      </c>
      <c r="J525" s="3" t="str">
        <f aca="false">IF(H525=9,IF(G525=9,"즉시 착수",IF(G525=3,"표준화 병행","선결 과제")),IF(H525=3,IF(G525=1,"보류","2단계 확장"),IF(G525=1,"제외","여력 시 수집")))</f>
        <v>선결 과제</v>
      </c>
    </row>
    <row r="526" customFormat="false" ht="15" hidden="false" customHeight="false" outlineLevel="0" collapsed="false">
      <c r="A526" s="3" t="n">
        <v>525</v>
      </c>
      <c r="B526" s="3" t="s">
        <v>585</v>
      </c>
      <c r="C526" s="4" t="s">
        <v>586</v>
      </c>
      <c r="D526" s="5" t="s">
        <v>587</v>
      </c>
      <c r="E526" s="4" t="s">
        <v>636</v>
      </c>
      <c r="F526" s="6" t="s">
        <v>639</v>
      </c>
      <c r="G526" s="10" t="n">
        <v>1</v>
      </c>
      <c r="H526" s="7" t="n">
        <v>9</v>
      </c>
      <c r="I526" s="11" t="n">
        <f aca="false">G526+H526</f>
        <v>10</v>
      </c>
      <c r="J526" s="3" t="str">
        <f aca="false">IF(H526=9,IF(G526=9,"즉시 착수",IF(G526=3,"표준화 병행","선결 과제")),IF(H526=3,IF(G526=1,"보류","2단계 확장"),IF(G526=1,"제외","여력 시 수집")))</f>
        <v>선결 과제</v>
      </c>
    </row>
    <row r="527" customFormat="false" ht="15" hidden="false" customHeight="false" outlineLevel="0" collapsed="false">
      <c r="A527" s="3" t="n">
        <v>526</v>
      </c>
      <c r="B527" s="3" t="s">
        <v>585</v>
      </c>
      <c r="C527" s="4" t="s">
        <v>586</v>
      </c>
      <c r="D527" s="5" t="s">
        <v>587</v>
      </c>
      <c r="E527" s="4" t="s">
        <v>636</v>
      </c>
      <c r="F527" s="9" t="s">
        <v>640</v>
      </c>
      <c r="G527" s="10" t="n">
        <v>1</v>
      </c>
      <c r="H527" s="7" t="n">
        <v>9</v>
      </c>
      <c r="I527" s="11" t="n">
        <f aca="false">G527+H527</f>
        <v>10</v>
      </c>
      <c r="J527" s="3" t="str">
        <f aca="false">IF(H527=9,IF(G527=9,"즉시 착수",IF(G527=3,"표준화 병행","선결 과제")),IF(H527=3,IF(G527=1,"보류","2단계 확장"),IF(G527=1,"제외","여력 시 수집")))</f>
        <v>선결 과제</v>
      </c>
    </row>
    <row r="528" customFormat="false" ht="15" hidden="false" customHeight="false" outlineLevel="0" collapsed="false">
      <c r="A528" s="3" t="n">
        <v>527</v>
      </c>
      <c r="B528" s="3" t="s">
        <v>585</v>
      </c>
      <c r="C528" s="4" t="s">
        <v>586</v>
      </c>
      <c r="D528" s="5" t="s">
        <v>587</v>
      </c>
      <c r="E528" s="4" t="s">
        <v>636</v>
      </c>
      <c r="F528" s="6" t="s">
        <v>641</v>
      </c>
      <c r="G528" s="7" t="n">
        <v>9</v>
      </c>
      <c r="H528" s="12" t="n">
        <v>3</v>
      </c>
      <c r="I528" s="13" t="n">
        <f aca="false">G528+H528</f>
        <v>12</v>
      </c>
      <c r="J528" s="3" t="str">
        <f aca="false">IF(H528=9,IF(G528=9,"즉시 착수",IF(G528=3,"표준화 병행","선결 과제")),IF(H528=3,IF(G528=1,"보류","2단계 확장"),IF(G528=1,"제외","여력 시 수집")))</f>
        <v>2단계 확장</v>
      </c>
    </row>
    <row r="529" customFormat="false" ht="15" hidden="false" customHeight="false" outlineLevel="0" collapsed="false">
      <c r="A529" s="3" t="n">
        <v>528</v>
      </c>
      <c r="B529" s="3" t="s">
        <v>585</v>
      </c>
      <c r="C529" s="4" t="s">
        <v>586</v>
      </c>
      <c r="D529" s="5" t="s">
        <v>587</v>
      </c>
      <c r="E529" s="4" t="s">
        <v>636</v>
      </c>
      <c r="F529" s="9" t="s">
        <v>642</v>
      </c>
      <c r="G529" s="10" t="n">
        <v>1</v>
      </c>
      <c r="H529" s="7" t="n">
        <v>9</v>
      </c>
      <c r="I529" s="11" t="n">
        <f aca="false">G529+H529</f>
        <v>10</v>
      </c>
      <c r="J529" s="3" t="str">
        <f aca="false">IF(H529=9,IF(G529=9,"즉시 착수",IF(G529=3,"표준화 병행","선결 과제")),IF(H529=3,IF(G529=1,"보류","2단계 확장"),IF(G529=1,"제외","여력 시 수집")))</f>
        <v>선결 과제</v>
      </c>
    </row>
  </sheetData>
  <autoFilter ref="A1:J5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1"/>
  </cols>
  <sheetData>
    <row r="1" customFormat="false" ht="15" hidden="false" customHeight="false" outlineLevel="0" collapsed="false">
      <c r="A1" s="18" t="s">
        <v>1</v>
      </c>
      <c r="B1" s="18" t="s">
        <v>2</v>
      </c>
      <c r="C1" s="18" t="s">
        <v>3</v>
      </c>
      <c r="D1" s="18" t="s">
        <v>643</v>
      </c>
      <c r="E1" s="18" t="s">
        <v>644</v>
      </c>
      <c r="F1" s="18" t="s">
        <v>645</v>
      </c>
      <c r="G1" s="18" t="s">
        <v>646</v>
      </c>
      <c r="H1" s="18" t="s">
        <v>647</v>
      </c>
      <c r="I1" s="18" t="s">
        <v>648</v>
      </c>
    </row>
    <row r="2" customFormat="false" ht="15" hidden="false" customHeight="false" outlineLevel="0" collapsed="false">
      <c r="A2" s="19" t="s">
        <v>10</v>
      </c>
      <c r="B2" s="20" t="s">
        <v>11</v>
      </c>
      <c r="C2" s="20" t="s">
        <v>12</v>
      </c>
      <c r="D2" s="19" t="n">
        <f aca="false">COUNTIF('수집성 평가표'!$C$2:$C$529,$B$2)</f>
        <v>48</v>
      </c>
      <c r="E2" s="19" t="n">
        <f aca="false">ROUND(AVERAGEIF('수집성 평가표'!$C$2:$C$529,$B$2,'수집성 평가표'!$H$2:$H$529),2)</f>
        <v>4.75</v>
      </c>
      <c r="F2" s="19" t="n">
        <f aca="false">ROUND(AVERAGEIF('수집성 평가표'!$C$2:$C$529,$B$2,'수집성 평가표'!$G$2:$G$529),2)</f>
        <v>5.13</v>
      </c>
      <c r="G2" s="19" t="n">
        <f aca="false">ROUND(AVERAGEIF('수집성 평가표'!$C$2:$C$529,$B$2,'수집성 평가표'!$I$2:$I$529),2)</f>
        <v>9.88</v>
      </c>
      <c r="H2" s="19" t="n">
        <f aca="false">COUNTIFS('수집성 평가표'!$C$2:$C$529,$B$2,'수집성 평가표'!$J$2:$J$529,"즉시 착수")</f>
        <v>8</v>
      </c>
      <c r="I2" s="19" t="n">
        <f aca="false">COUNTIFS('수집성 평가표'!$C$2:$C$529,$B$2,'수집성 평가표'!$J$2:$J$529,"선결 과제")</f>
        <v>6</v>
      </c>
    </row>
    <row r="3" customFormat="false" ht="15" hidden="false" customHeight="false" outlineLevel="0" collapsed="false">
      <c r="A3" s="19" t="s">
        <v>69</v>
      </c>
      <c r="B3" s="20" t="s">
        <v>649</v>
      </c>
      <c r="C3" s="20" t="s">
        <v>12</v>
      </c>
      <c r="D3" s="19" t="n">
        <f aca="false">COUNTIF('수집성 평가표'!$C$2:$C$529,$B$3)</f>
        <v>48</v>
      </c>
      <c r="E3" s="19" t="n">
        <f aca="false">ROUND(AVERAGEIF('수집성 평가표'!$C$2:$C$529,$B$3,'수집성 평가표'!$H$2:$H$529),2)</f>
        <v>5.04</v>
      </c>
      <c r="F3" s="19" t="n">
        <f aca="false">ROUND(AVERAGEIF('수집성 평가표'!$C$2:$C$529,$B$3,'수집성 평가표'!$G$2:$G$529),2)</f>
        <v>4.38</v>
      </c>
      <c r="G3" s="19" t="n">
        <f aca="false">ROUND(AVERAGEIF('수집성 평가표'!$C$2:$C$529,$B$3,'수집성 평가표'!$I$2:$I$529),2)</f>
        <v>9.42</v>
      </c>
      <c r="H3" s="19" t="n">
        <f aca="false">COUNTIFS('수집성 평가표'!$C$2:$C$529,$B$3,'수집성 평가표'!$J$2:$J$529,"즉시 착수")</f>
        <v>10</v>
      </c>
      <c r="I3" s="19" t="n">
        <f aca="false">COUNTIFS('수집성 평가표'!$C$2:$C$529,$B$3,'수집성 평가표'!$J$2:$J$529,"선결 과제")</f>
        <v>4</v>
      </c>
    </row>
    <row r="4" customFormat="false" ht="15" hidden="false" customHeight="false" outlineLevel="0" collapsed="false">
      <c r="A4" s="19" t="s">
        <v>127</v>
      </c>
      <c r="B4" s="20" t="s">
        <v>650</v>
      </c>
      <c r="C4" s="20" t="s">
        <v>12</v>
      </c>
      <c r="D4" s="19" t="n">
        <f aca="false">COUNTIF('수집성 평가표'!$C$2:$C$529,$B$4)</f>
        <v>48</v>
      </c>
      <c r="E4" s="19" t="n">
        <f aca="false">ROUND(AVERAGEIF('수집성 평가표'!$C$2:$C$529,$B$4,'수집성 평가표'!$H$2:$H$529),2)</f>
        <v>5.13</v>
      </c>
      <c r="F4" s="19" t="n">
        <f aca="false">ROUND(AVERAGEIF('수집성 평가표'!$C$2:$C$529,$B$4,'수집성 평가표'!$G$2:$G$529),2)</f>
        <v>3.13</v>
      </c>
      <c r="G4" s="19" t="n">
        <f aca="false">ROUND(AVERAGEIF('수집성 평가표'!$C$2:$C$529,$B$4,'수집성 평가표'!$I$2:$I$529),2)</f>
        <v>8.25</v>
      </c>
      <c r="H4" s="19" t="n">
        <f aca="false">COUNTIFS('수집성 평가표'!$C$2:$C$529,$B$4,'수집성 평가표'!$J$2:$J$529,"즉시 착수")</f>
        <v>0</v>
      </c>
      <c r="I4" s="19" t="n">
        <f aca="false">COUNTIFS('수집성 평가표'!$C$2:$C$529,$B$4,'수집성 평가표'!$J$2:$J$529,"선결 과제")</f>
        <v>9</v>
      </c>
    </row>
    <row r="5" customFormat="false" ht="15" hidden="false" customHeight="false" outlineLevel="0" collapsed="false">
      <c r="A5" s="19" t="s">
        <v>185</v>
      </c>
      <c r="B5" s="20" t="s">
        <v>651</v>
      </c>
      <c r="C5" s="20" t="s">
        <v>12</v>
      </c>
      <c r="D5" s="19" t="n">
        <f aca="false">COUNTIF('수집성 평가표'!$C$2:$C$529,$B$5)</f>
        <v>48</v>
      </c>
      <c r="E5" s="19" t="n">
        <f aca="false">ROUND(AVERAGEIF('수집성 평가표'!$C$2:$C$529,$B$5,'수집성 평가표'!$H$2:$H$529),2)</f>
        <v>5</v>
      </c>
      <c r="F5" s="19" t="n">
        <f aca="false">ROUND(AVERAGEIF('수집성 평가표'!$C$2:$C$529,$B$5,'수집성 평가표'!$G$2:$G$529),2)</f>
        <v>1.79</v>
      </c>
      <c r="G5" s="19" t="n">
        <f aca="false">ROUND(AVERAGEIF('수집성 평가표'!$C$2:$C$529,$B$5,'수집성 평가표'!$I$2:$I$529),2)</f>
        <v>6.79</v>
      </c>
      <c r="H5" s="19" t="n">
        <f aca="false">COUNTIFS('수집성 평가표'!$C$2:$C$529,$B$5,'수집성 평가표'!$J$2:$J$529,"즉시 착수")</f>
        <v>0</v>
      </c>
      <c r="I5" s="19" t="n">
        <f aca="false">COUNTIFS('수집성 평가표'!$C$2:$C$529,$B$5,'수집성 평가표'!$J$2:$J$529,"선결 과제")</f>
        <v>14</v>
      </c>
    </row>
    <row r="6" customFormat="false" ht="15" hidden="false" customHeight="false" outlineLevel="0" collapsed="false">
      <c r="A6" s="19" t="s">
        <v>242</v>
      </c>
      <c r="B6" s="20" t="s">
        <v>652</v>
      </c>
      <c r="C6" s="20" t="s">
        <v>12</v>
      </c>
      <c r="D6" s="19" t="n">
        <f aca="false">COUNTIF('수집성 평가표'!$C$2:$C$529,$B$6)</f>
        <v>48</v>
      </c>
      <c r="E6" s="19" t="n">
        <f aca="false">ROUND(AVERAGEIF('수집성 평가표'!$C$2:$C$529,$B$6,'수집성 평가표'!$H$2:$H$529),2)</f>
        <v>6.38</v>
      </c>
      <c r="F6" s="19" t="n">
        <f aca="false">ROUND(AVERAGEIF('수집성 평가표'!$C$2:$C$529,$B$6,'수집성 평가표'!$G$2:$G$529),2)</f>
        <v>4</v>
      </c>
      <c r="G6" s="19" t="n">
        <f aca="false">ROUND(AVERAGEIF('수집성 평가표'!$C$2:$C$529,$B$6,'수집성 평가표'!$I$2:$I$529),2)</f>
        <v>10.38</v>
      </c>
      <c r="H6" s="19" t="n">
        <f aca="false">COUNTIFS('수집성 평가표'!$C$2:$C$529,$B$6,'수집성 평가표'!$J$2:$J$529,"즉시 착수")</f>
        <v>8</v>
      </c>
      <c r="I6" s="19" t="n">
        <f aca="false">COUNTIFS('수집성 평가표'!$C$2:$C$529,$B$6,'수집성 평가표'!$J$2:$J$529,"선결 과제")</f>
        <v>9</v>
      </c>
    </row>
    <row r="7" customFormat="false" ht="15" hidden="false" customHeight="false" outlineLevel="0" collapsed="false">
      <c r="A7" s="19" t="s">
        <v>299</v>
      </c>
      <c r="B7" s="20" t="s">
        <v>653</v>
      </c>
      <c r="C7" s="20" t="s">
        <v>301</v>
      </c>
      <c r="D7" s="19" t="n">
        <f aca="false">COUNTIF('수집성 평가표'!$C$2:$C$529,$B$7)</f>
        <v>48</v>
      </c>
      <c r="E7" s="19" t="n">
        <f aca="false">ROUND(AVERAGEIF('수집성 평가표'!$C$2:$C$529,$B$7,'수집성 평가표'!$H$2:$H$529),2)</f>
        <v>6</v>
      </c>
      <c r="F7" s="19" t="n">
        <f aca="false">ROUND(AVERAGEIF('수집성 평가표'!$C$2:$C$529,$B$7,'수집성 평가표'!$G$2:$G$529),2)</f>
        <v>4.83</v>
      </c>
      <c r="G7" s="19" t="n">
        <f aca="false">ROUND(AVERAGEIF('수집성 평가표'!$C$2:$C$529,$B$7,'수집성 평가표'!$I$2:$I$529),2)</f>
        <v>10.83</v>
      </c>
      <c r="H7" s="19" t="n">
        <f aca="false">COUNTIFS('수집성 평가표'!$C$2:$C$529,$B$7,'수집성 평가표'!$J$2:$J$529,"즉시 착수")</f>
        <v>4</v>
      </c>
      <c r="I7" s="19" t="n">
        <f aca="false">COUNTIFS('수집성 평가표'!$C$2:$C$529,$B$7,'수집성 평가표'!$J$2:$J$529,"선결 과제")</f>
        <v>10</v>
      </c>
    </row>
    <row r="8" customFormat="false" ht="15" hidden="false" customHeight="false" outlineLevel="0" collapsed="false">
      <c r="A8" s="19" t="s">
        <v>356</v>
      </c>
      <c r="B8" s="20" t="s">
        <v>654</v>
      </c>
      <c r="C8" s="20" t="s">
        <v>358</v>
      </c>
      <c r="D8" s="19" t="n">
        <f aca="false">COUNTIF('수집성 평가표'!$C$2:$C$529,$B$8)</f>
        <v>48</v>
      </c>
      <c r="E8" s="19" t="n">
        <f aca="false">ROUND(AVERAGEIF('수집성 평가표'!$C$2:$C$529,$B$8,'수집성 평가표'!$H$2:$H$529),2)</f>
        <v>8.25</v>
      </c>
      <c r="F8" s="19" t="n">
        <f aca="false">ROUND(AVERAGEIF('수집성 평가표'!$C$2:$C$529,$B$8,'수집성 평가표'!$G$2:$G$529),2)</f>
        <v>5.25</v>
      </c>
      <c r="G8" s="19" t="n">
        <f aca="false">ROUND(AVERAGEIF('수집성 평가표'!$C$2:$C$529,$B$8,'수집성 평가표'!$I$2:$I$529),2)</f>
        <v>13.5</v>
      </c>
      <c r="H8" s="19" t="n">
        <f aca="false">COUNTIFS('수집성 평가표'!$C$2:$C$529,$B$8,'수집성 평가표'!$J$2:$J$529,"즉시 착수")</f>
        <v>14</v>
      </c>
      <c r="I8" s="19" t="n">
        <f aca="false">COUNTIFS('수집성 평가표'!$C$2:$C$529,$B$8,'수집성 평가표'!$J$2:$J$529,"선결 과제")</f>
        <v>6</v>
      </c>
    </row>
    <row r="9" customFormat="false" ht="15" hidden="false" customHeight="false" outlineLevel="0" collapsed="false">
      <c r="A9" s="19" t="s">
        <v>415</v>
      </c>
      <c r="B9" s="20" t="s">
        <v>416</v>
      </c>
      <c r="C9" s="20" t="s">
        <v>358</v>
      </c>
      <c r="D9" s="19" t="n">
        <f aca="false">COUNTIF('수집성 평가표'!$C$2:$C$529,$B$9)</f>
        <v>48</v>
      </c>
      <c r="E9" s="19" t="n">
        <f aca="false">ROUND(AVERAGEIF('수집성 평가표'!$C$2:$C$529,$B$9,'수집성 평가표'!$H$2:$H$529),2)</f>
        <v>5.92</v>
      </c>
      <c r="F9" s="19" t="n">
        <f aca="false">ROUND(AVERAGEIF('수집성 평가표'!$C$2:$C$529,$B$9,'수집성 평가표'!$G$2:$G$529),2)</f>
        <v>7.38</v>
      </c>
      <c r="G9" s="19" t="n">
        <f aca="false">ROUND(AVERAGEIF('수집성 평가표'!$C$2:$C$529,$B$9,'수집성 평가표'!$I$2:$I$529),2)</f>
        <v>13.29</v>
      </c>
      <c r="H9" s="19" t="n">
        <f aca="false">COUNTIFS('수집성 평가표'!$C$2:$C$529,$B$9,'수집성 평가표'!$J$2:$J$529,"즉시 착수")</f>
        <v>24</v>
      </c>
      <c r="I9" s="19" t="n">
        <f aca="false">COUNTIFS('수집성 평가표'!$C$2:$C$529,$B$9,'수집성 평가표'!$J$2:$J$529,"선결 과제")</f>
        <v>0</v>
      </c>
    </row>
    <row r="10" customFormat="false" ht="15" hidden="false" customHeight="false" outlineLevel="0" collapsed="false">
      <c r="A10" s="19" t="s">
        <v>471</v>
      </c>
      <c r="B10" s="20" t="s">
        <v>655</v>
      </c>
      <c r="C10" s="20" t="s">
        <v>358</v>
      </c>
      <c r="D10" s="19" t="n">
        <f aca="false">COUNTIF('수집성 평가표'!$C$2:$C$529,$B$10)</f>
        <v>48</v>
      </c>
      <c r="E10" s="19" t="n">
        <f aca="false">ROUND(AVERAGEIF('수집성 평가표'!$C$2:$C$529,$B$10,'수집성 평가표'!$H$2:$H$529),2)</f>
        <v>4.79</v>
      </c>
      <c r="F10" s="19" t="n">
        <f aca="false">ROUND(AVERAGEIF('수집성 평가표'!$C$2:$C$529,$B$10,'수집성 평가표'!$G$2:$G$529),2)</f>
        <v>4.25</v>
      </c>
      <c r="G10" s="19" t="n">
        <f aca="false">ROUND(AVERAGEIF('수집성 평가표'!$C$2:$C$529,$B$10,'수집성 평가표'!$I$2:$I$529),2)</f>
        <v>9.04</v>
      </c>
      <c r="H10" s="19" t="n">
        <f aca="false">COUNTIFS('수집성 평가표'!$C$2:$C$529,$B$10,'수집성 평가표'!$J$2:$J$529,"즉시 착수")</f>
        <v>7</v>
      </c>
      <c r="I10" s="19" t="n">
        <f aca="false">COUNTIFS('수집성 평가표'!$C$2:$C$529,$B$10,'수집성 평가표'!$J$2:$J$529,"선결 과제")</f>
        <v>7</v>
      </c>
    </row>
    <row r="11" customFormat="false" ht="15" hidden="false" customHeight="false" outlineLevel="0" collapsed="false">
      <c r="A11" s="19" t="s">
        <v>526</v>
      </c>
      <c r="B11" s="20" t="s">
        <v>656</v>
      </c>
      <c r="C11" s="20" t="s">
        <v>528</v>
      </c>
      <c r="D11" s="19" t="n">
        <f aca="false">COUNTIF('수집성 평가표'!$C$2:$C$529,$B$11)</f>
        <v>48</v>
      </c>
      <c r="E11" s="19" t="n">
        <f aca="false">ROUND(AVERAGEIF('수집성 평가표'!$C$2:$C$529,$B$11,'수집성 평가표'!$H$2:$H$529),2)</f>
        <v>6.71</v>
      </c>
      <c r="F11" s="19" t="n">
        <f aca="false">ROUND(AVERAGEIF('수집성 평가표'!$C$2:$C$529,$B$11,'수집성 평가표'!$G$2:$G$529),2)</f>
        <v>5.63</v>
      </c>
      <c r="G11" s="19" t="n">
        <f aca="false">ROUND(AVERAGEIF('수집성 평가표'!$C$2:$C$529,$B$11,'수집성 평가표'!$I$2:$I$529),2)</f>
        <v>12.33</v>
      </c>
      <c r="H11" s="19" t="n">
        <f aca="false">COUNTIFS('수집성 평가표'!$C$2:$C$529,$B$11,'수집성 평가표'!$J$2:$J$529,"즉시 착수")</f>
        <v>15</v>
      </c>
      <c r="I11" s="19" t="n">
        <f aca="false">COUNTIFS('수집성 평가표'!$C$2:$C$529,$B$11,'수집성 평가표'!$J$2:$J$529,"선결 과제")</f>
        <v>8</v>
      </c>
    </row>
    <row r="12" customFormat="false" ht="15" hidden="false" customHeight="false" outlineLevel="0" collapsed="false">
      <c r="A12" s="19" t="s">
        <v>585</v>
      </c>
      <c r="B12" s="20" t="s">
        <v>657</v>
      </c>
      <c r="C12" s="20" t="s">
        <v>587</v>
      </c>
      <c r="D12" s="19" t="n">
        <f aca="false">COUNTIF('수집성 평가표'!$C$2:$C$529,$B$12)</f>
        <v>48</v>
      </c>
      <c r="E12" s="19" t="n">
        <f aca="false">ROUND(AVERAGEIF('수집성 평가표'!$C$2:$C$529,$B$12,'수집성 평가표'!$H$2:$H$529),2)</f>
        <v>6.92</v>
      </c>
      <c r="F12" s="19" t="n">
        <f aca="false">ROUND(AVERAGEIF('수집성 평가표'!$C$2:$C$529,$B$12,'수집성 평가표'!$G$2:$G$529),2)</f>
        <v>5.17</v>
      </c>
      <c r="G12" s="19" t="n">
        <f aca="false">ROUND(AVERAGEIF('수집성 평가표'!$C$2:$C$529,$B$12,'수집성 평가표'!$I$2:$I$529),2)</f>
        <v>12.08</v>
      </c>
      <c r="H12" s="19" t="n">
        <f aca="false">COUNTIFS('수집성 평가표'!$C$2:$C$529,$B$12,'수집성 평가표'!$J$2:$J$529,"즉시 착수")</f>
        <v>14</v>
      </c>
      <c r="I12" s="19" t="n">
        <f aca="false">COUNTIFS('수집성 평가표'!$C$2:$C$529,$B$12,'수집성 평가표'!$J$2:$J$529,"선결 과제")</f>
        <v>11</v>
      </c>
    </row>
    <row r="13" customFormat="false" ht="15" hidden="false" customHeight="false" outlineLevel="0" collapsed="false">
      <c r="A13" s="19"/>
      <c r="B13" s="20" t="s">
        <v>658</v>
      </c>
      <c r="C13" s="19"/>
      <c r="D13" s="19" t="n">
        <f aca="false">SUM(D2:D12)</f>
        <v>528</v>
      </c>
      <c r="E13" s="19" t="n">
        <f aca="false">ROUND(AVERAGE('수집성 평가표'!$H$2:$H$529),2)</f>
        <v>5.9</v>
      </c>
      <c r="F13" s="19" t="n">
        <f aca="false">ROUND(AVERAGE('수집성 평가표'!$G$2:$G$529),2)</f>
        <v>4.63</v>
      </c>
      <c r="G13" s="19" t="n">
        <f aca="false">ROUND(AVERAGE('수집성 평가표'!$I$2:$I$529),2)</f>
        <v>10.53</v>
      </c>
      <c r="H13" s="19" t="n">
        <f aca="false">SUM(H2:H12)</f>
        <v>104</v>
      </c>
      <c r="I13" s="19" t="n">
        <f aca="false">SUM(I2:I12)</f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1"/>
    <col collapsed="false" customWidth="true" hidden="false" outlineLevel="0" max="5" min="5" style="0" width="9"/>
  </cols>
  <sheetData>
    <row r="1" customFormat="false" ht="15" hidden="false" customHeight="false" outlineLevel="0" collapsed="false">
      <c r="A1" s="18" t="s">
        <v>659</v>
      </c>
      <c r="B1" s="18" t="s">
        <v>660</v>
      </c>
      <c r="C1" s="18" t="s">
        <v>661</v>
      </c>
      <c r="D1" s="18" t="s">
        <v>662</v>
      </c>
      <c r="E1" s="18" t="s">
        <v>663</v>
      </c>
      <c r="F1" s="19"/>
      <c r="G1" s="19"/>
      <c r="H1" s="19"/>
      <c r="I1" s="19"/>
    </row>
    <row r="2" customFormat="false" ht="15" hidden="false" customHeight="false" outlineLevel="0" collapsed="false">
      <c r="A2" s="20" t="s">
        <v>664</v>
      </c>
      <c r="B2" s="19" t="n">
        <f aca="false">COUNTIFS('수집성 평가표'!$H$2:$H$529,9,'수집성 평가표'!$G$2:$G$529,1)</f>
        <v>84</v>
      </c>
      <c r="C2" s="19" t="n">
        <f aca="false">COUNTIFS('수집성 평가표'!$H$2:$H$529,9,'수집성 평가표'!$G$2:$G$529,3)</f>
        <v>80</v>
      </c>
      <c r="D2" s="19" t="n">
        <f aca="false">COUNTIFS('수집성 평가표'!$H$2:$H$529,9,'수집성 평가표'!$G$2:$G$529,9)</f>
        <v>104</v>
      </c>
      <c r="E2" s="19" t="n">
        <f aca="false">SUM(B2:D2)</f>
        <v>268</v>
      </c>
      <c r="F2" s="19"/>
      <c r="G2" s="19"/>
      <c r="H2" s="19"/>
      <c r="I2" s="19"/>
    </row>
    <row r="3" customFormat="false" ht="15" hidden="false" customHeight="false" outlineLevel="0" collapsed="false">
      <c r="A3" s="20" t="s">
        <v>665</v>
      </c>
      <c r="B3" s="19" t="n">
        <f aca="false">COUNTIFS('수집성 평가표'!$H$2:$H$529,3,'수집성 평가표'!$G$2:$G$529,1)</f>
        <v>46</v>
      </c>
      <c r="C3" s="19" t="n">
        <f aca="false">COUNTIFS('수집성 평가표'!$H$2:$H$529,3,'수집성 평가표'!$G$2:$G$529,3)</f>
        <v>102</v>
      </c>
      <c r="D3" s="19" t="n">
        <f aca="false">COUNTIFS('수집성 평가표'!$H$2:$H$529,3,'수집성 평가표'!$G$2:$G$529,9)</f>
        <v>73</v>
      </c>
      <c r="E3" s="19" t="n">
        <f aca="false">SUM(B3:D3)</f>
        <v>221</v>
      </c>
      <c r="F3" s="19"/>
      <c r="G3" s="19"/>
      <c r="H3" s="19"/>
      <c r="I3" s="19"/>
    </row>
    <row r="4" customFormat="false" ht="15" hidden="false" customHeight="false" outlineLevel="0" collapsed="false">
      <c r="A4" s="20" t="s">
        <v>666</v>
      </c>
      <c r="B4" s="19" t="n">
        <f aca="false">COUNTIFS('수집성 평가표'!$H$2:$H$529,1,'수집성 평가표'!$G$2:$G$529,1)</f>
        <v>10</v>
      </c>
      <c r="C4" s="19" t="n">
        <f aca="false">COUNTIFS('수집성 평가표'!$H$2:$H$529,1,'수집성 평가표'!$G$2:$G$529,3)</f>
        <v>16</v>
      </c>
      <c r="D4" s="19" t="n">
        <f aca="false">COUNTIFS('수집성 평가표'!$H$2:$H$529,1,'수집성 평가표'!$G$2:$G$529,9)</f>
        <v>13</v>
      </c>
      <c r="E4" s="19" t="n">
        <f aca="false">SUM(B4:D4)</f>
        <v>39</v>
      </c>
      <c r="F4" s="19"/>
      <c r="G4" s="19"/>
      <c r="H4" s="19"/>
      <c r="I4" s="19"/>
    </row>
    <row r="5" customFormat="false" ht="15" hidden="false" customHeight="false" outlineLevel="0" collapsed="false">
      <c r="A5" s="20" t="s">
        <v>663</v>
      </c>
      <c r="B5" s="19" t="n">
        <f aca="false">SUM(B2:B4)</f>
        <v>140</v>
      </c>
      <c r="C5" s="19" t="n">
        <f aca="false">SUM(C2:C4)</f>
        <v>198</v>
      </c>
      <c r="D5" s="19" t="n">
        <f aca="false">SUM(D2:D4)</f>
        <v>190</v>
      </c>
      <c r="E5" s="19" t="n">
        <f aca="false">SUM(E2:E4)</f>
        <v>528</v>
      </c>
      <c r="F5" s="19"/>
      <c r="G5" s="19"/>
      <c r="H5" s="19"/>
      <c r="I5" s="19"/>
    </row>
    <row r="6" customFormat="false" ht="15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</row>
    <row r="7" customFormat="false" ht="15" hidden="false" customHeight="false" outlineLevel="0" collapsed="false">
      <c r="A7" s="20" t="s">
        <v>667</v>
      </c>
      <c r="B7" s="19"/>
      <c r="C7" s="19"/>
      <c r="D7" s="19"/>
      <c r="E7" s="19"/>
      <c r="F7" s="19"/>
      <c r="G7" s="19"/>
      <c r="H7" s="19"/>
      <c r="I7" s="19"/>
    </row>
    <row r="8" customFormat="false" ht="15" hidden="false" customHeight="false" outlineLevel="0" collapsed="false">
      <c r="A8" s="20" t="s">
        <v>668</v>
      </c>
      <c r="B8" s="20" t="s">
        <v>647</v>
      </c>
      <c r="C8" s="19"/>
      <c r="D8" s="19"/>
      <c r="E8" s="19"/>
      <c r="F8" s="19"/>
      <c r="G8" s="19"/>
      <c r="H8" s="19"/>
      <c r="I8" s="19"/>
    </row>
    <row r="9" customFormat="false" ht="15" hidden="false" customHeight="false" outlineLevel="0" collapsed="false">
      <c r="A9" s="20" t="s">
        <v>669</v>
      </c>
      <c r="B9" s="20" t="s">
        <v>670</v>
      </c>
      <c r="C9" s="19"/>
      <c r="D9" s="19"/>
      <c r="E9" s="19"/>
      <c r="F9" s="19"/>
      <c r="G9" s="19"/>
      <c r="H9" s="19"/>
      <c r="I9" s="19"/>
    </row>
    <row r="10" customFormat="false" ht="15" hidden="false" customHeight="false" outlineLevel="0" collapsed="false">
      <c r="A10" s="20" t="s">
        <v>671</v>
      </c>
      <c r="B10" s="20" t="s">
        <v>648</v>
      </c>
      <c r="C10" s="19"/>
      <c r="D10" s="19"/>
      <c r="E10" s="19"/>
      <c r="F10" s="19"/>
      <c r="G10" s="19"/>
      <c r="H10" s="19"/>
      <c r="I10" s="19"/>
    </row>
    <row r="11" customFormat="false" ht="15" hidden="false" customHeight="false" outlineLevel="0" collapsed="false">
      <c r="A11" s="20" t="s">
        <v>672</v>
      </c>
      <c r="B11" s="19" t="s">
        <v>673</v>
      </c>
      <c r="C11" s="19"/>
      <c r="D11" s="19"/>
      <c r="E11" s="19"/>
      <c r="F11" s="19"/>
      <c r="G11" s="19"/>
      <c r="H11" s="19"/>
      <c r="I11" s="19"/>
    </row>
    <row r="12" customFormat="false" ht="15" hidden="false" customHeight="false" outlineLevel="0" collapsed="false">
      <c r="A12" s="20" t="s">
        <v>674</v>
      </c>
      <c r="B12" s="19" t="s">
        <v>673</v>
      </c>
      <c r="C12" s="19"/>
      <c r="D12" s="19"/>
      <c r="E12" s="19"/>
      <c r="F12" s="19"/>
      <c r="G12" s="19"/>
      <c r="H12" s="19"/>
      <c r="I12" s="19"/>
    </row>
    <row r="13" customFormat="false" ht="15" hidden="false" customHeight="false" outlineLevel="0" collapsed="false">
      <c r="A13" s="20" t="s">
        <v>675</v>
      </c>
      <c r="B13" s="20" t="s">
        <v>676</v>
      </c>
      <c r="C13" s="19"/>
      <c r="D13" s="19"/>
      <c r="E13" s="19"/>
      <c r="F13" s="19"/>
      <c r="G13" s="19"/>
      <c r="H13" s="19"/>
      <c r="I13" s="19"/>
    </row>
    <row r="14" customFormat="false" ht="15" hidden="false" customHeight="false" outlineLevel="0" collapsed="false">
      <c r="A14" s="20" t="s">
        <v>677</v>
      </c>
      <c r="B14" s="20" t="s">
        <v>678</v>
      </c>
      <c r="C14" s="19"/>
      <c r="D14" s="19"/>
      <c r="E14" s="19"/>
      <c r="F14" s="19"/>
      <c r="G14" s="19"/>
      <c r="H14" s="19"/>
      <c r="I14" s="19"/>
    </row>
    <row r="15" customFormat="false" ht="15" hidden="false" customHeight="false" outlineLevel="0" collapsed="false">
      <c r="A15" s="20" t="s">
        <v>679</v>
      </c>
      <c r="B15" s="20" t="s">
        <v>678</v>
      </c>
      <c r="C15" s="19"/>
      <c r="D15" s="19"/>
      <c r="E15" s="19"/>
      <c r="F15" s="19"/>
      <c r="G15" s="19"/>
      <c r="H15" s="19"/>
      <c r="I15" s="19"/>
    </row>
    <row r="16" customFormat="false" ht="15" hidden="false" customHeight="false" outlineLevel="0" collapsed="false">
      <c r="A16" s="20" t="s">
        <v>680</v>
      </c>
      <c r="B16" s="20" t="s">
        <v>681</v>
      </c>
      <c r="C16" s="19"/>
      <c r="D16" s="19"/>
      <c r="E16" s="19"/>
      <c r="F16" s="19"/>
      <c r="G16" s="19"/>
      <c r="H16" s="19"/>
      <c r="I1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21" t="s">
        <v>682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19"/>
      <c r="B2" s="19"/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A3" s="19" t="s">
        <v>683</v>
      </c>
      <c r="B3" s="19"/>
      <c r="C3" s="19"/>
      <c r="D3" s="19"/>
      <c r="E3" s="19"/>
      <c r="F3" s="19"/>
      <c r="G3" s="19"/>
      <c r="H3" s="19"/>
      <c r="I3" s="19"/>
    </row>
    <row r="4" customFormat="false" ht="15" hidden="false" customHeight="false" outlineLevel="0" collapsed="false">
      <c r="A4" s="19" t="s">
        <v>684</v>
      </c>
      <c r="B4" s="19"/>
      <c r="C4" s="19"/>
      <c r="D4" s="19"/>
      <c r="E4" s="19"/>
      <c r="F4" s="19"/>
      <c r="G4" s="19"/>
      <c r="H4" s="19"/>
      <c r="I4" s="19"/>
    </row>
    <row r="5" customFormat="false" ht="15" hidden="false" customHeight="false" outlineLevel="0" collapsed="false">
      <c r="A5" s="19"/>
      <c r="B5" s="19"/>
      <c r="C5" s="19"/>
      <c r="D5" s="19"/>
      <c r="E5" s="19"/>
      <c r="F5" s="19"/>
      <c r="G5" s="19"/>
      <c r="H5" s="19"/>
      <c r="I5" s="19"/>
    </row>
    <row r="6" customFormat="false" ht="15" hidden="false" customHeight="false" outlineLevel="0" collapsed="false">
      <c r="A6" s="19" t="s">
        <v>685</v>
      </c>
      <c r="B6" s="19"/>
      <c r="C6" s="19"/>
      <c r="D6" s="19"/>
      <c r="E6" s="19"/>
      <c r="F6" s="19"/>
      <c r="G6" s="19"/>
      <c r="H6" s="19"/>
      <c r="I6" s="19"/>
    </row>
    <row r="7" customFormat="false" ht="15" hidden="false" customHeight="false" outlineLevel="0" collapsed="false">
      <c r="A7" s="20" t="s">
        <v>686</v>
      </c>
      <c r="B7" s="19"/>
      <c r="C7" s="19"/>
      <c r="D7" s="19"/>
      <c r="E7" s="19"/>
      <c r="F7" s="19"/>
      <c r="G7" s="19"/>
      <c r="H7" s="19"/>
      <c r="I7" s="19"/>
    </row>
    <row r="8" customFormat="false" ht="15" hidden="false" customHeight="false" outlineLevel="0" collapsed="false">
      <c r="A8" s="20" t="s">
        <v>687</v>
      </c>
      <c r="B8" s="19"/>
      <c r="C8" s="19"/>
      <c r="D8" s="19"/>
      <c r="E8" s="19"/>
      <c r="F8" s="19"/>
      <c r="G8" s="19"/>
      <c r="H8" s="19"/>
      <c r="I8" s="19"/>
    </row>
    <row r="9" customFormat="false" ht="15" hidden="false" customHeight="false" outlineLevel="0" collapsed="false">
      <c r="A9" s="19" t="s">
        <v>688</v>
      </c>
      <c r="B9" s="19"/>
      <c r="C9" s="19"/>
      <c r="D9" s="19"/>
      <c r="E9" s="19"/>
      <c r="F9" s="19"/>
      <c r="G9" s="19"/>
      <c r="H9" s="19"/>
      <c r="I9" s="19"/>
    </row>
    <row r="10" customFormat="false" ht="15" hidden="false" customHeight="false" outlineLevel="0" collapsed="false">
      <c r="A10" s="19"/>
      <c r="B10" s="19"/>
      <c r="C10" s="19"/>
      <c r="D10" s="19"/>
      <c r="E10" s="19"/>
      <c r="F10" s="19"/>
      <c r="G10" s="19"/>
      <c r="H10" s="19"/>
      <c r="I10" s="19"/>
    </row>
    <row r="11" customFormat="false" ht="15" hidden="false" customHeight="false" outlineLevel="0" collapsed="false">
      <c r="A11" s="19" t="s">
        <v>689</v>
      </c>
      <c r="B11" s="19"/>
      <c r="C11" s="19"/>
      <c r="D11" s="19"/>
      <c r="E11" s="19"/>
      <c r="F11" s="19"/>
      <c r="G11" s="19"/>
      <c r="H11" s="19"/>
      <c r="I11" s="19"/>
    </row>
    <row r="12" customFormat="false" ht="15" hidden="false" customHeight="false" outlineLevel="0" collapsed="false">
      <c r="A12" s="20" t="s">
        <v>690</v>
      </c>
      <c r="B12" s="19"/>
      <c r="C12" s="19"/>
      <c r="D12" s="19"/>
      <c r="E12" s="19"/>
      <c r="F12" s="19"/>
      <c r="G12" s="19"/>
      <c r="H12" s="19"/>
      <c r="I12" s="19"/>
    </row>
    <row r="13" customFormat="false" ht="1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</row>
    <row r="14" customFormat="false" ht="15" hidden="false" customHeight="false" outlineLevel="0" collapsed="false">
      <c r="A14" s="19" t="s">
        <v>691</v>
      </c>
      <c r="B14" s="19"/>
      <c r="C14" s="19"/>
      <c r="D14" s="19"/>
      <c r="E14" s="19"/>
      <c r="F14" s="19"/>
      <c r="G14" s="19"/>
      <c r="H14" s="19"/>
      <c r="I14" s="19"/>
    </row>
    <row r="15" customFormat="false" ht="15" hidden="false" customHeight="false" outlineLevel="0" collapsed="false">
      <c r="A15" s="19" t="s">
        <v>692</v>
      </c>
      <c r="B15" s="19"/>
      <c r="C15" s="19"/>
      <c r="D15" s="19"/>
      <c r="E15" s="19"/>
      <c r="F15" s="19"/>
      <c r="G15" s="19"/>
      <c r="H15" s="19"/>
      <c r="I15" s="19"/>
    </row>
    <row r="16" customFormat="false" ht="15" hidden="false" customHeight="false" outlineLevel="0" collapsed="false">
      <c r="A16" s="19" t="s">
        <v>693</v>
      </c>
      <c r="B16" s="19"/>
      <c r="C16" s="19"/>
      <c r="D16" s="19"/>
      <c r="E16" s="19"/>
      <c r="F16" s="19"/>
      <c r="G16" s="19"/>
      <c r="H16" s="19"/>
      <c r="I16" s="19"/>
    </row>
    <row r="17" customFormat="false" ht="15" hidden="false" customHeight="false" outlineLevel="0" collapsed="false">
      <c r="A17" s="20" t="s">
        <v>694</v>
      </c>
      <c r="B17" s="19"/>
      <c r="C17" s="19"/>
      <c r="D17" s="19"/>
      <c r="E17" s="19"/>
      <c r="F17" s="19"/>
      <c r="G17" s="19"/>
      <c r="H17" s="19"/>
      <c r="I17" s="19"/>
    </row>
    <row r="18" customFormat="false" ht="1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</row>
    <row r="19" customFormat="false" ht="1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</row>
    <row r="20" customFormat="false" ht="15" hidden="false" customHeight="false" outlineLevel="0" collapsed="false">
      <c r="A20" s="20" t="s">
        <v>695</v>
      </c>
      <c r="B20" s="19"/>
      <c r="C20" s="19"/>
      <c r="D20" s="19"/>
      <c r="E20" s="19"/>
      <c r="F20" s="19"/>
      <c r="G20" s="19"/>
      <c r="H20" s="19"/>
      <c r="I20" s="19"/>
    </row>
    <row r="21" customFormat="false" ht="15" hidden="false" customHeight="false" outlineLevel="0" collapsed="false">
      <c r="A21" s="20" t="s">
        <v>696</v>
      </c>
      <c r="B21" s="19"/>
      <c r="C21" s="19"/>
      <c r="D21" s="19"/>
      <c r="E21" s="19"/>
      <c r="F21" s="19"/>
      <c r="G21" s="19"/>
      <c r="H21" s="19"/>
      <c r="I2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2026-09-17T12:13:57Z</dcterms:created>
  <dc:creator>openpyxl</dc:creator>
  <dc:description/>
  <dc:language>en-US</dc:language>
  <cp:lastModifiedBy/>
  <dcterms:modified xsi:type="dcterms:W3CDTF">2026-09-17T12:13:57Z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